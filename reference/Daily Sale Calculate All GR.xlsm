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F:\Dealership Account file\DAILY SA LES CALCULATION ALL GROUP\"/>
    </mc:Choice>
  </mc:AlternateContent>
  <xr:revisionPtr revIDLastSave="0" documentId="13_ncr:1_{3D0A30DA-5A26-45F4-B28F-4A1AFE9F7A06}" xr6:coauthVersionLast="36" xr6:coauthVersionMax="36" xr10:uidLastSave="{00000000-0000-0000-0000-000000000000}"/>
  <bookViews>
    <workbookView xWindow="0" yWindow="0" windowWidth="23040" windowHeight="9324" tabRatio="641" activeTab="1" xr2:uid="{00000000-000D-0000-FFFF-FFFF00000000}"/>
  </bookViews>
  <sheets>
    <sheet name="Stock sheet" sheetId="1" r:id="rId1"/>
    <sheet name="New zealand dairy" sheetId="4" r:id="rId2"/>
    <sheet name="BD GOLD MARK ZAFRAN" sheetId="2" r:id="rId3"/>
    <sheet name="Sheet1" sheetId="8" r:id="rId4"/>
    <sheet name="BASIR IMRAN" sheetId="7" r:id="rId5"/>
  </sheets>
  <definedNames>
    <definedName name="_xlnm.Print_Area" localSheetId="4">'BASIR IMRAN'!$A$1:$P$189</definedName>
    <definedName name="_xlnm.Print_Area" localSheetId="2">'BD GOLD MARK ZAFRAN'!$A$1:$Q$177</definedName>
    <definedName name="_xlnm.Print_Area" localSheetId="1">'New zealand dairy'!$A$1:$Q$115</definedName>
    <definedName name="_xlnm.Print_Area" localSheetId="0">'Stock sheet'!$A$1:$P$85</definedName>
    <definedName name="_xlnm.Print_Titles" localSheetId="2">'BD GOLD MARK ZAFRAN'!$61:$62</definedName>
    <definedName name="_xlnm.Print_Titles" localSheetId="1">'New zealand dairy'!$3:$3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8" i="4" l="1"/>
  <c r="S18" i="4"/>
  <c r="R18" i="4"/>
  <c r="Q18" i="4"/>
  <c r="O18" i="4"/>
  <c r="L18" i="4"/>
  <c r="T18" i="4" s="1"/>
  <c r="M18" i="4" l="1"/>
  <c r="V68" i="4"/>
  <c r="S68" i="4"/>
  <c r="R68" i="4"/>
  <c r="Q68" i="4"/>
  <c r="O68" i="4"/>
  <c r="L68" i="4"/>
  <c r="M68" i="4" s="1"/>
  <c r="T68" i="4" l="1"/>
  <c r="W64" i="2"/>
  <c r="W65" i="2"/>
  <c r="W66" i="2"/>
  <c r="W67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4" i="2"/>
  <c r="W95" i="2"/>
  <c r="W96" i="2"/>
  <c r="W97" i="2"/>
  <c r="W99" i="2"/>
  <c r="W101" i="2"/>
  <c r="W102" i="2"/>
  <c r="W104" i="2"/>
  <c r="W106" i="2"/>
  <c r="W107" i="2"/>
  <c r="W109" i="2"/>
  <c r="W110" i="2"/>
  <c r="W113" i="2"/>
  <c r="W114" i="2"/>
  <c r="W115" i="2"/>
  <c r="W116" i="2"/>
  <c r="W117" i="2"/>
  <c r="W118" i="2"/>
  <c r="W119" i="2"/>
  <c r="W120" i="2"/>
  <c r="W121" i="2"/>
  <c r="W122" i="2"/>
  <c r="W123" i="2"/>
  <c r="W63" i="2"/>
  <c r="V88" i="2"/>
  <c r="V89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L71" i="2" l="1"/>
  <c r="N71" i="2" s="1"/>
  <c r="P71" i="2"/>
  <c r="Y71" i="2"/>
  <c r="R5" i="4" l="1"/>
  <c r="R6" i="4"/>
  <c r="R7" i="4"/>
  <c r="R8" i="4"/>
  <c r="R9" i="4"/>
  <c r="R10" i="4"/>
  <c r="R11" i="4"/>
  <c r="R12" i="4"/>
  <c r="R13" i="4"/>
  <c r="R19" i="4"/>
  <c r="R14" i="4"/>
  <c r="R15" i="4"/>
  <c r="R16" i="4"/>
  <c r="R17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S5" i="4"/>
  <c r="S6" i="4"/>
  <c r="S7" i="4"/>
  <c r="S8" i="4"/>
  <c r="S9" i="4"/>
  <c r="S10" i="4"/>
  <c r="S11" i="4"/>
  <c r="S12" i="4"/>
  <c r="S13" i="4"/>
  <c r="S19" i="4"/>
  <c r="S14" i="4"/>
  <c r="S15" i="4"/>
  <c r="S16" i="4"/>
  <c r="S17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R136" i="2" l="1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36" i="2"/>
  <c r="L137" i="2"/>
  <c r="V55" i="4" l="1"/>
  <c r="Q55" i="4"/>
  <c r="O55" i="4"/>
  <c r="L55" i="4"/>
  <c r="T55" i="4" s="1"/>
  <c r="O51" i="4"/>
  <c r="L51" i="4"/>
  <c r="Q51" i="4"/>
  <c r="V48" i="4"/>
  <c r="V49" i="4"/>
  <c r="V50" i="4"/>
  <c r="V51" i="4"/>
  <c r="M51" i="4" l="1"/>
  <c r="T51" i="4"/>
  <c r="M55" i="4"/>
  <c r="H16" i="7"/>
  <c r="V63" i="2" l="1"/>
  <c r="O5" i="4" l="1"/>
  <c r="O6" i="4"/>
  <c r="O7" i="4"/>
  <c r="O8" i="4"/>
  <c r="O9" i="4"/>
  <c r="O10" i="4"/>
  <c r="O11" i="4"/>
  <c r="O12" i="4"/>
  <c r="O13" i="4"/>
  <c r="O19" i="4"/>
  <c r="O14" i="4"/>
  <c r="O15" i="4"/>
  <c r="O16" i="4"/>
  <c r="O17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2" i="4"/>
  <c r="O53" i="4"/>
  <c r="O54" i="4"/>
  <c r="O56" i="4"/>
  <c r="O57" i="4"/>
  <c r="O58" i="4"/>
  <c r="O59" i="4"/>
  <c r="O60" i="4"/>
  <c r="O61" i="4"/>
  <c r="O62" i="4"/>
  <c r="O63" i="4"/>
  <c r="O64" i="4"/>
  <c r="O65" i="4"/>
  <c r="O66" i="4"/>
  <c r="O67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4" i="4"/>
  <c r="L5" i="4" l="1"/>
  <c r="T5" i="4" s="1"/>
  <c r="L6" i="4"/>
  <c r="T6" i="4" s="1"/>
  <c r="L7" i="4"/>
  <c r="T7" i="4" s="1"/>
  <c r="L8" i="4"/>
  <c r="T8" i="4" s="1"/>
  <c r="L9" i="4"/>
  <c r="T9" i="4" s="1"/>
  <c r="L10" i="4"/>
  <c r="T10" i="4" s="1"/>
  <c r="L11" i="4"/>
  <c r="T11" i="4" s="1"/>
  <c r="L12" i="4"/>
  <c r="T12" i="4" s="1"/>
  <c r="L13" i="4"/>
  <c r="T13" i="4" s="1"/>
  <c r="L19" i="4"/>
  <c r="T19" i="4" s="1"/>
  <c r="L14" i="4"/>
  <c r="T14" i="4" s="1"/>
  <c r="L15" i="4"/>
  <c r="T15" i="4" s="1"/>
  <c r="L16" i="4"/>
  <c r="T16" i="4" s="1"/>
  <c r="L17" i="4"/>
  <c r="T17" i="4" s="1"/>
  <c r="L20" i="4"/>
  <c r="T20" i="4" s="1"/>
  <c r="L21" i="4"/>
  <c r="T21" i="4" s="1"/>
  <c r="L22" i="4"/>
  <c r="T22" i="4" s="1"/>
  <c r="L23" i="4"/>
  <c r="T23" i="4" s="1"/>
  <c r="L24" i="4"/>
  <c r="T24" i="4" s="1"/>
  <c r="L25" i="4"/>
  <c r="T25" i="4" s="1"/>
  <c r="L26" i="4"/>
  <c r="T26" i="4" s="1"/>
  <c r="L27" i="4"/>
  <c r="T27" i="4" s="1"/>
  <c r="L28" i="4"/>
  <c r="T28" i="4" s="1"/>
  <c r="L29" i="4"/>
  <c r="T29" i="4" s="1"/>
  <c r="L30" i="4"/>
  <c r="T30" i="4" s="1"/>
  <c r="L31" i="4"/>
  <c r="T31" i="4" s="1"/>
  <c r="L32" i="4"/>
  <c r="T32" i="4" s="1"/>
  <c r="L33" i="4"/>
  <c r="T33" i="4" s="1"/>
  <c r="L34" i="4"/>
  <c r="T34" i="4" s="1"/>
  <c r="L35" i="4"/>
  <c r="T35" i="4" s="1"/>
  <c r="L36" i="4"/>
  <c r="T36" i="4" s="1"/>
  <c r="L37" i="4"/>
  <c r="T37" i="4" s="1"/>
  <c r="L38" i="4"/>
  <c r="T38" i="4" s="1"/>
  <c r="L39" i="4"/>
  <c r="T39" i="4" s="1"/>
  <c r="L40" i="4"/>
  <c r="T40" i="4" s="1"/>
  <c r="L41" i="4"/>
  <c r="T41" i="4" s="1"/>
  <c r="L42" i="4"/>
  <c r="T42" i="4" s="1"/>
  <c r="L43" i="4"/>
  <c r="T43" i="4" s="1"/>
  <c r="L44" i="4"/>
  <c r="T44" i="4" s="1"/>
  <c r="L45" i="4"/>
  <c r="T45" i="4" s="1"/>
  <c r="L46" i="4"/>
  <c r="T46" i="4" s="1"/>
  <c r="L47" i="4"/>
  <c r="T47" i="4" s="1"/>
  <c r="L48" i="4"/>
  <c r="T48" i="4" s="1"/>
  <c r="L49" i="4"/>
  <c r="T49" i="4" s="1"/>
  <c r="L50" i="4"/>
  <c r="T50" i="4" s="1"/>
  <c r="L52" i="4"/>
  <c r="L53" i="4"/>
  <c r="T53" i="4" s="1"/>
  <c r="L54" i="4"/>
  <c r="T54" i="4" s="1"/>
  <c r="L56" i="4"/>
  <c r="T56" i="4" s="1"/>
  <c r="L57" i="4"/>
  <c r="T57" i="4" s="1"/>
  <c r="L58" i="4"/>
  <c r="T58" i="4" s="1"/>
  <c r="L59" i="4"/>
  <c r="T59" i="4" s="1"/>
  <c r="L60" i="4"/>
  <c r="T60" i="4" s="1"/>
  <c r="L61" i="4"/>
  <c r="T61" i="4" s="1"/>
  <c r="L62" i="4"/>
  <c r="T62" i="4" s="1"/>
  <c r="L63" i="4"/>
  <c r="T63" i="4" s="1"/>
  <c r="L64" i="4"/>
  <c r="T64" i="4" s="1"/>
  <c r="L65" i="4"/>
  <c r="T65" i="4" s="1"/>
  <c r="L66" i="4"/>
  <c r="T66" i="4" s="1"/>
  <c r="L67" i="4"/>
  <c r="T67" i="4" s="1"/>
  <c r="L69" i="4"/>
  <c r="T69" i="4" s="1"/>
  <c r="L70" i="4"/>
  <c r="T70" i="4" s="1"/>
  <c r="L71" i="4"/>
  <c r="T71" i="4" s="1"/>
  <c r="L72" i="4"/>
  <c r="T72" i="4" s="1"/>
  <c r="L73" i="4"/>
  <c r="T73" i="4" s="1"/>
  <c r="L74" i="4"/>
  <c r="T74" i="4" s="1"/>
  <c r="L75" i="4"/>
  <c r="T75" i="4" s="1"/>
  <c r="L76" i="4"/>
  <c r="T76" i="4" s="1"/>
  <c r="L77" i="4"/>
  <c r="T77" i="4" s="1"/>
  <c r="L78" i="4"/>
  <c r="T78" i="4" s="1"/>
  <c r="L79" i="4"/>
  <c r="T79" i="4" s="1"/>
  <c r="L80" i="4"/>
  <c r="T80" i="4" s="1"/>
  <c r="L81" i="4"/>
  <c r="T81" i="4" s="1"/>
  <c r="L82" i="4"/>
  <c r="T82" i="4" s="1"/>
  <c r="L83" i="4"/>
  <c r="T83" i="4" s="1"/>
  <c r="M52" i="4" l="1"/>
  <c r="T52" i="4"/>
  <c r="L70" i="2"/>
  <c r="N70" i="2" s="1"/>
  <c r="P70" i="2"/>
  <c r="R70" i="2"/>
  <c r="S70" i="2"/>
  <c r="Y70" i="2"/>
  <c r="T70" i="2" l="1"/>
  <c r="W152" i="2"/>
  <c r="Y152" i="2"/>
  <c r="Y153" i="2"/>
  <c r="F162" i="2" l="1"/>
  <c r="F163" i="2"/>
  <c r="F164" i="2"/>
  <c r="F165" i="2"/>
  <c r="F166" i="2"/>
  <c r="F167" i="2"/>
  <c r="F168" i="2"/>
  <c r="S153" i="2" l="1"/>
  <c r="N153" i="2" l="1"/>
  <c r="T153" i="2"/>
  <c r="V59" i="4" l="1"/>
  <c r="Q59" i="4"/>
  <c r="M59" i="4" l="1"/>
  <c r="V67" i="4" l="1"/>
  <c r="M61" i="4"/>
  <c r="Q67" i="4" l="1"/>
  <c r="M67" i="4"/>
  <c r="V5" i="4"/>
  <c r="V6" i="4"/>
  <c r="V7" i="4"/>
  <c r="V8" i="4"/>
  <c r="V9" i="4"/>
  <c r="V10" i="4"/>
  <c r="V11" i="4"/>
  <c r="V12" i="4"/>
  <c r="V13" i="4"/>
  <c r="V19" i="4"/>
  <c r="V14" i="4"/>
  <c r="V15" i="4"/>
  <c r="V16" i="4"/>
  <c r="V17" i="4"/>
  <c r="V20" i="4"/>
  <c r="V4" i="4"/>
  <c r="V58" i="4" l="1"/>
  <c r="M60" i="4"/>
  <c r="V57" i="4"/>
  <c r="V56" i="4"/>
  <c r="Q56" i="4" l="1"/>
  <c r="M56" i="4"/>
  <c r="Q58" i="4"/>
  <c r="M58" i="4"/>
  <c r="Q57" i="4"/>
  <c r="M57" i="4"/>
  <c r="S152" i="2"/>
  <c r="P152" i="2"/>
  <c r="T152" i="2"/>
  <c r="N152" i="2" l="1"/>
  <c r="F161" i="2"/>
  <c r="Q10" i="4" l="1"/>
  <c r="Q11" i="4"/>
  <c r="Q12" i="4"/>
  <c r="Q13" i="4"/>
  <c r="Q19" i="4"/>
  <c r="Q14" i="4"/>
  <c r="Q15" i="4"/>
  <c r="Q16" i="4"/>
  <c r="Q23" i="4"/>
  <c r="Q25" i="4"/>
  <c r="Q31" i="4"/>
  <c r="Q44" i="4"/>
  <c r="Q61" i="4"/>
  <c r="Q62" i="4"/>
  <c r="Q72" i="4"/>
  <c r="Q77" i="4"/>
  <c r="Q78" i="4"/>
  <c r="Q84" i="4"/>
  <c r="Q4" i="4"/>
  <c r="F89" i="4" l="1"/>
  <c r="F90" i="4"/>
  <c r="F91" i="4"/>
  <c r="F92" i="4"/>
  <c r="F93" i="4"/>
  <c r="F94" i="4"/>
  <c r="F95" i="4"/>
  <c r="F96" i="4"/>
  <c r="P133" i="2" l="1"/>
  <c r="L84" i="4" l="1"/>
  <c r="M84" i="4" l="1"/>
  <c r="T84" i="4"/>
  <c r="Y122" i="2"/>
  <c r="R122" i="2"/>
  <c r="S122" i="2"/>
  <c r="L122" i="2"/>
  <c r="T122" i="2" s="1"/>
  <c r="P122" i="2"/>
  <c r="N122" i="2" l="1"/>
  <c r="G2" i="4"/>
  <c r="Y151" i="2" l="1"/>
  <c r="W151" i="2"/>
  <c r="S151" i="2"/>
  <c r="P151" i="2"/>
  <c r="N151" i="2"/>
  <c r="T151" i="2" l="1"/>
  <c r="V77" i="4"/>
  <c r="M77" i="4" l="1"/>
  <c r="M78" i="4"/>
  <c r="C218" i="2"/>
  <c r="P136" i="2" l="1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35" i="2"/>
  <c r="P63" i="2"/>
  <c r="Y120" i="2" l="1"/>
  <c r="S120" i="2"/>
  <c r="R120" i="2"/>
  <c r="P120" i="2"/>
  <c r="L120" i="2"/>
  <c r="T120" i="2" s="1"/>
  <c r="N120" i="2" l="1"/>
  <c r="V21" i="4" l="1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52" i="4"/>
  <c r="V53" i="4"/>
  <c r="V54" i="4"/>
  <c r="V60" i="4"/>
  <c r="V61" i="4"/>
  <c r="V62" i="4"/>
  <c r="V63" i="4"/>
  <c r="V64" i="4"/>
  <c r="V65" i="4"/>
  <c r="V66" i="4"/>
  <c r="V69" i="4"/>
  <c r="V70" i="4"/>
  <c r="V71" i="4"/>
  <c r="V72" i="4"/>
  <c r="V73" i="4"/>
  <c r="V74" i="4"/>
  <c r="V75" i="4"/>
  <c r="V76" i="4"/>
  <c r="V78" i="4"/>
  <c r="V79" i="4"/>
  <c r="V80" i="4"/>
  <c r="V81" i="4"/>
  <c r="V82" i="4"/>
  <c r="V83" i="4"/>
  <c r="V84" i="4"/>
  <c r="Y63" i="2"/>
  <c r="Y121" i="2" l="1"/>
  <c r="S121" i="2"/>
  <c r="R121" i="2"/>
  <c r="P121" i="2"/>
  <c r="L121" i="2"/>
  <c r="T121" i="2" s="1"/>
  <c r="N121" i="2" l="1"/>
  <c r="Y108" i="2"/>
  <c r="W108" i="2" s="1"/>
  <c r="Y109" i="2"/>
  <c r="P64" i="2"/>
  <c r="P65" i="2"/>
  <c r="P66" i="2"/>
  <c r="P67" i="2"/>
  <c r="P68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72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69" i="2"/>
  <c r="P113" i="2"/>
  <c r="P114" i="2"/>
  <c r="P115" i="2"/>
  <c r="P116" i="2"/>
  <c r="P117" i="2"/>
  <c r="P118" i="2"/>
  <c r="P119" i="2"/>
  <c r="P123" i="2"/>
  <c r="P127" i="2"/>
  <c r="F169" i="2" l="1"/>
  <c r="O163" i="2" s="1"/>
  <c r="S117" i="2" l="1"/>
  <c r="S123" i="2"/>
  <c r="S127" i="2"/>
  <c r="S114" i="2"/>
  <c r="S86" i="2"/>
  <c r="R117" i="2"/>
  <c r="R123" i="2"/>
  <c r="R127" i="2"/>
  <c r="R114" i="2"/>
  <c r="R86" i="2"/>
  <c r="Y102" i="2"/>
  <c r="S102" i="2"/>
  <c r="R102" i="2"/>
  <c r="L102" i="2"/>
  <c r="N102" i="2" s="1"/>
  <c r="L123" i="2"/>
  <c r="T123" i="2" s="1"/>
  <c r="L127" i="2"/>
  <c r="T127" i="2" s="1"/>
  <c r="L114" i="2"/>
  <c r="T114" i="2" s="1"/>
  <c r="N114" i="2" l="1"/>
  <c r="N123" i="2"/>
  <c r="N127" i="2"/>
  <c r="T102" i="2"/>
  <c r="Y114" i="2"/>
  <c r="W127" i="2"/>
  <c r="Y127" i="2"/>
  <c r="Y123" i="2"/>
  <c r="R118" i="2"/>
  <c r="S118" i="2"/>
  <c r="L118" i="2"/>
  <c r="N118" i="2" s="1"/>
  <c r="L117" i="2"/>
  <c r="Y117" i="2"/>
  <c r="Y118" i="2"/>
  <c r="N117" i="2" l="1"/>
  <c r="T117" i="2"/>
  <c r="T118" i="2"/>
  <c r="M25" i="4" l="1"/>
  <c r="S64" i="2" l="1"/>
  <c r="S65" i="2"/>
  <c r="S66" i="2"/>
  <c r="S67" i="2"/>
  <c r="S68" i="2"/>
  <c r="S91" i="2"/>
  <c r="S92" i="2"/>
  <c r="S93" i="2"/>
  <c r="S94" i="2"/>
  <c r="S95" i="2"/>
  <c r="S96" i="2"/>
  <c r="S97" i="2"/>
  <c r="S72" i="2"/>
  <c r="S73" i="2"/>
  <c r="S74" i="2"/>
  <c r="S75" i="2"/>
  <c r="S76" i="2"/>
  <c r="S77" i="2"/>
  <c r="S78" i="2"/>
  <c r="S98" i="2"/>
  <c r="S99" i="2"/>
  <c r="S100" i="2"/>
  <c r="S101" i="2"/>
  <c r="S103" i="2"/>
  <c r="S104" i="2"/>
  <c r="S105" i="2"/>
  <c r="S106" i="2"/>
  <c r="S107" i="2"/>
  <c r="S108" i="2"/>
  <c r="S109" i="2"/>
  <c r="S110" i="2"/>
  <c r="S111" i="2"/>
  <c r="S112" i="2"/>
  <c r="S69" i="2"/>
  <c r="S113" i="2"/>
  <c r="S79" i="2"/>
  <c r="S80" i="2"/>
  <c r="S81" i="2"/>
  <c r="S82" i="2"/>
  <c r="S83" i="2"/>
  <c r="S84" i="2"/>
  <c r="S85" i="2"/>
  <c r="S119" i="2"/>
  <c r="S116" i="2"/>
  <c r="S115" i="2"/>
  <c r="S87" i="2"/>
  <c r="S88" i="2"/>
  <c r="S89" i="2"/>
  <c r="S90" i="2"/>
  <c r="R64" i="2"/>
  <c r="R65" i="2"/>
  <c r="R66" i="2"/>
  <c r="R67" i="2"/>
  <c r="R68" i="2"/>
  <c r="R91" i="2"/>
  <c r="R92" i="2"/>
  <c r="R93" i="2"/>
  <c r="R94" i="2"/>
  <c r="R95" i="2"/>
  <c r="R96" i="2"/>
  <c r="R97" i="2"/>
  <c r="R72" i="2"/>
  <c r="R73" i="2"/>
  <c r="R74" i="2"/>
  <c r="R75" i="2"/>
  <c r="R76" i="2"/>
  <c r="R77" i="2"/>
  <c r="R78" i="2"/>
  <c r="R98" i="2"/>
  <c r="R99" i="2"/>
  <c r="R100" i="2"/>
  <c r="R101" i="2"/>
  <c r="R103" i="2"/>
  <c r="R104" i="2"/>
  <c r="R105" i="2"/>
  <c r="R106" i="2"/>
  <c r="R107" i="2"/>
  <c r="R108" i="2"/>
  <c r="R109" i="2"/>
  <c r="R110" i="2"/>
  <c r="R111" i="2"/>
  <c r="R112" i="2"/>
  <c r="R69" i="2"/>
  <c r="R113" i="2"/>
  <c r="R79" i="2"/>
  <c r="R80" i="2"/>
  <c r="R81" i="2"/>
  <c r="R82" i="2"/>
  <c r="R83" i="2"/>
  <c r="R84" i="2"/>
  <c r="R85" i="2"/>
  <c r="R119" i="2"/>
  <c r="R116" i="2"/>
  <c r="R115" i="2"/>
  <c r="R87" i="2"/>
  <c r="R88" i="2"/>
  <c r="R89" i="2"/>
  <c r="R90" i="2"/>
  <c r="L97" i="2"/>
  <c r="N97" i="2" s="1"/>
  <c r="L72" i="2"/>
  <c r="T72" i="2" s="1"/>
  <c r="Y97" i="2"/>
  <c r="N72" i="2" l="1"/>
  <c r="T97" i="2"/>
  <c r="Y135" i="2"/>
  <c r="Y89" i="2"/>
  <c r="Y90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4" i="2"/>
  <c r="M19" i="4" l="1"/>
  <c r="L96" i="2" l="1"/>
  <c r="Y96" i="2"/>
  <c r="N96" i="2" l="1"/>
  <c r="T96" i="2"/>
  <c r="N142" i="2"/>
  <c r="N154" i="2"/>
  <c r="S142" i="2"/>
  <c r="W142" i="2"/>
  <c r="T142" i="2" l="1"/>
  <c r="Q27" i="4" l="1"/>
  <c r="M27" i="4"/>
  <c r="L90" i="2"/>
  <c r="L89" i="2"/>
  <c r="T89" i="2" s="1"/>
  <c r="N90" i="2" l="1"/>
  <c r="T90" i="2"/>
  <c r="N89" i="2"/>
  <c r="Y113" i="2"/>
  <c r="L113" i="2"/>
  <c r="T113" i="2" s="1"/>
  <c r="N113" i="2" l="1"/>
  <c r="L108" i="2"/>
  <c r="N108" i="2" l="1"/>
  <c r="T108" i="2"/>
  <c r="O110" i="4" l="1"/>
  <c r="O111" i="4"/>
  <c r="O109" i="4"/>
  <c r="O116" i="4" l="1"/>
  <c r="Q37" i="4" l="1"/>
  <c r="M37" i="4"/>
  <c r="Y69" i="2" l="1"/>
  <c r="L69" i="2"/>
  <c r="T69" i="2" s="1"/>
  <c r="Y103" i="2"/>
  <c r="W103" i="2" s="1"/>
  <c r="L103" i="2"/>
  <c r="T103" i="2" s="1"/>
  <c r="N69" i="2" l="1"/>
  <c r="N103" i="2"/>
  <c r="F88" i="4" l="1"/>
  <c r="F97" i="4" s="1"/>
  <c r="N90" i="4" l="1"/>
  <c r="Q63" i="4"/>
  <c r="M10" i="4" l="1"/>
  <c r="Y94" i="4" l="1"/>
  <c r="L85" i="2" l="1"/>
  <c r="T85" i="2" s="1"/>
  <c r="H180" i="7" l="1"/>
  <c r="C180" i="7"/>
  <c r="Q59" i="2" l="1"/>
  <c r="D176" i="2" s="1"/>
  <c r="C99" i="4"/>
  <c r="M13" i="4"/>
  <c r="Q6" i="4" l="1"/>
  <c r="M6" i="4"/>
  <c r="P176" i="7"/>
  <c r="R174" i="7"/>
  <c r="Q174" i="7"/>
  <c r="O174" i="7"/>
  <c r="L174" i="7"/>
  <c r="S174" i="7" s="1"/>
  <c r="R173" i="7"/>
  <c r="Q173" i="7"/>
  <c r="O173" i="7"/>
  <c r="M173" i="7"/>
  <c r="L173" i="7"/>
  <c r="S173" i="7" s="1"/>
  <c r="R172" i="7"/>
  <c r="Q172" i="7"/>
  <c r="O172" i="7"/>
  <c r="L172" i="7"/>
  <c r="S172" i="7" s="1"/>
  <c r="L171" i="7"/>
  <c r="H171" i="7"/>
  <c r="R171" i="7" s="1"/>
  <c r="L170" i="7"/>
  <c r="H170" i="7"/>
  <c r="Q170" i="7" s="1"/>
  <c r="L169" i="7"/>
  <c r="H169" i="7"/>
  <c r="L168" i="7"/>
  <c r="H168" i="7"/>
  <c r="R168" i="7" s="1"/>
  <c r="M167" i="7"/>
  <c r="L167" i="7"/>
  <c r="H167" i="7"/>
  <c r="R167" i="7" s="1"/>
  <c r="L166" i="7"/>
  <c r="H166" i="7"/>
  <c r="Q166" i="7" s="1"/>
  <c r="L165" i="7"/>
  <c r="H165" i="7"/>
  <c r="Q165" i="7" s="1"/>
  <c r="O164" i="7"/>
  <c r="L164" i="7"/>
  <c r="H164" i="7"/>
  <c r="R164" i="7" s="1"/>
  <c r="L163" i="7"/>
  <c r="H163" i="7"/>
  <c r="R163" i="7" s="1"/>
  <c r="L162" i="7"/>
  <c r="H162" i="7"/>
  <c r="Q162" i="7" s="1"/>
  <c r="L161" i="7"/>
  <c r="H161" i="7"/>
  <c r="Q161" i="7" s="1"/>
  <c r="L160" i="7"/>
  <c r="H160" i="7"/>
  <c r="L159" i="7"/>
  <c r="H159" i="7"/>
  <c r="L158" i="7"/>
  <c r="H158" i="7"/>
  <c r="R158" i="7" s="1"/>
  <c r="R157" i="7"/>
  <c r="Q157" i="7"/>
  <c r="O157" i="7"/>
  <c r="L157" i="7"/>
  <c r="S157" i="7" s="1"/>
  <c r="L156" i="7"/>
  <c r="H156" i="7"/>
  <c r="O156" i="7" s="1"/>
  <c r="L155" i="7"/>
  <c r="H155" i="7"/>
  <c r="L154" i="7"/>
  <c r="S154" i="7" s="1"/>
  <c r="H154" i="7"/>
  <c r="R154" i="7" s="1"/>
  <c r="S153" i="7"/>
  <c r="R153" i="7"/>
  <c r="Q153" i="7"/>
  <c r="O153" i="7"/>
  <c r="M153" i="7"/>
  <c r="L153" i="7"/>
  <c r="R152" i="7"/>
  <c r="Q152" i="7"/>
  <c r="O152" i="7"/>
  <c r="L152" i="7"/>
  <c r="S152" i="7" s="1"/>
  <c r="L151" i="7"/>
  <c r="S151" i="7" s="1"/>
  <c r="H151" i="7"/>
  <c r="R151" i="7" s="1"/>
  <c r="L150" i="7"/>
  <c r="H150" i="7"/>
  <c r="Q150" i="7" s="1"/>
  <c r="O149" i="7"/>
  <c r="L149" i="7"/>
  <c r="H149" i="7"/>
  <c r="R149" i="7" s="1"/>
  <c r="L148" i="7"/>
  <c r="H148" i="7"/>
  <c r="R148" i="7" s="1"/>
  <c r="L147" i="7"/>
  <c r="H147" i="7"/>
  <c r="Q147" i="7" s="1"/>
  <c r="L146" i="7"/>
  <c r="H146" i="7"/>
  <c r="Q146" i="7" s="1"/>
  <c r="R145" i="7"/>
  <c r="Q145" i="7"/>
  <c r="O145" i="7"/>
  <c r="L145" i="7"/>
  <c r="S145" i="7" s="1"/>
  <c r="L144" i="7"/>
  <c r="H144" i="7"/>
  <c r="Q144" i="7" s="1"/>
  <c r="L143" i="7"/>
  <c r="H143" i="7"/>
  <c r="L142" i="7"/>
  <c r="S142" i="7" s="1"/>
  <c r="H142" i="7"/>
  <c r="R142" i="7" s="1"/>
  <c r="L141" i="7"/>
  <c r="H141" i="7"/>
  <c r="R141" i="7" s="1"/>
  <c r="L140" i="7"/>
  <c r="H140" i="7"/>
  <c r="Q140" i="7" s="1"/>
  <c r="L139" i="7"/>
  <c r="H139" i="7"/>
  <c r="Q139" i="7" s="1"/>
  <c r="L138" i="7"/>
  <c r="H138" i="7"/>
  <c r="R138" i="7" s="1"/>
  <c r="L137" i="7"/>
  <c r="M137" i="7" s="1"/>
  <c r="H137" i="7"/>
  <c r="R137" i="7" s="1"/>
  <c r="L136" i="7"/>
  <c r="H136" i="7"/>
  <c r="Q136" i="7" s="1"/>
  <c r="Q135" i="7"/>
  <c r="L135" i="7"/>
  <c r="H135" i="7"/>
  <c r="O134" i="7"/>
  <c r="L134" i="7"/>
  <c r="H134" i="7"/>
  <c r="Q134" i="7" s="1"/>
  <c r="L133" i="7"/>
  <c r="H133" i="7"/>
  <c r="R133" i="7" s="1"/>
  <c r="L132" i="7"/>
  <c r="H132" i="7"/>
  <c r="Q132" i="7" s="1"/>
  <c r="L131" i="7"/>
  <c r="H131" i="7"/>
  <c r="L130" i="7"/>
  <c r="S130" i="7" s="1"/>
  <c r="H130" i="7"/>
  <c r="Q130" i="7" s="1"/>
  <c r="L129" i="7"/>
  <c r="S129" i="7" s="1"/>
  <c r="H129" i="7"/>
  <c r="R129" i="7" s="1"/>
  <c r="L128" i="7"/>
  <c r="H128" i="7"/>
  <c r="Q128" i="7" s="1"/>
  <c r="L127" i="7"/>
  <c r="H127" i="7"/>
  <c r="Q127" i="7" s="1"/>
  <c r="L126" i="7"/>
  <c r="H126" i="7"/>
  <c r="Q126" i="7" s="1"/>
  <c r="L125" i="7"/>
  <c r="S125" i="7" s="1"/>
  <c r="H125" i="7"/>
  <c r="R125" i="7" s="1"/>
  <c r="L124" i="7"/>
  <c r="H124" i="7"/>
  <c r="Q124" i="7" s="1"/>
  <c r="L123" i="7"/>
  <c r="H123" i="7"/>
  <c r="Q123" i="7" s="1"/>
  <c r="L122" i="7"/>
  <c r="H122" i="7"/>
  <c r="Q122" i="7" s="1"/>
  <c r="R121" i="7"/>
  <c r="Q121" i="7"/>
  <c r="O121" i="7"/>
  <c r="L121" i="7"/>
  <c r="S121" i="7" s="1"/>
  <c r="L120" i="7"/>
  <c r="H120" i="7"/>
  <c r="R119" i="7"/>
  <c r="Q119" i="7"/>
  <c r="O119" i="7"/>
  <c r="L119" i="7"/>
  <c r="S119" i="7" s="1"/>
  <c r="O118" i="7"/>
  <c r="L118" i="7"/>
  <c r="H118" i="7"/>
  <c r="Q118" i="7" s="1"/>
  <c r="L117" i="7"/>
  <c r="H117" i="7"/>
  <c r="Q117" i="7" s="1"/>
  <c r="L116" i="7"/>
  <c r="H116" i="7"/>
  <c r="Q116" i="7" s="1"/>
  <c r="L115" i="7"/>
  <c r="H115" i="7"/>
  <c r="R115" i="7" s="1"/>
  <c r="L114" i="7"/>
  <c r="H114" i="7"/>
  <c r="Q114" i="7" s="1"/>
  <c r="L113" i="7"/>
  <c r="H113" i="7"/>
  <c r="Q113" i="7" s="1"/>
  <c r="L112" i="7"/>
  <c r="H112" i="7"/>
  <c r="Q112" i="7" s="1"/>
  <c r="L111" i="7"/>
  <c r="S111" i="7" s="1"/>
  <c r="H111" i="7"/>
  <c r="R111" i="7" s="1"/>
  <c r="R110" i="7"/>
  <c r="L110" i="7"/>
  <c r="H110" i="7"/>
  <c r="Q110" i="7" s="1"/>
  <c r="L109" i="7"/>
  <c r="H109" i="7"/>
  <c r="L108" i="7"/>
  <c r="S108" i="7" s="1"/>
  <c r="H108" i="7"/>
  <c r="Q108" i="7" s="1"/>
  <c r="L107" i="7"/>
  <c r="H107" i="7"/>
  <c r="R107" i="7" s="1"/>
  <c r="L106" i="7"/>
  <c r="H106" i="7"/>
  <c r="Q106" i="7" s="1"/>
  <c r="Q105" i="7"/>
  <c r="L105" i="7"/>
  <c r="H105" i="7"/>
  <c r="O104" i="7"/>
  <c r="L104" i="7"/>
  <c r="H104" i="7"/>
  <c r="Q104" i="7" s="1"/>
  <c r="L103" i="7"/>
  <c r="M103" i="7" s="1"/>
  <c r="H103" i="7"/>
  <c r="Q103" i="7" s="1"/>
  <c r="L102" i="7"/>
  <c r="S102" i="7" s="1"/>
  <c r="H102" i="7"/>
  <c r="Q102" i="7" s="1"/>
  <c r="L101" i="7"/>
  <c r="S101" i="7" s="1"/>
  <c r="H101" i="7"/>
  <c r="R101" i="7" s="1"/>
  <c r="L100" i="7"/>
  <c r="H100" i="7"/>
  <c r="Q100" i="7" s="1"/>
  <c r="L99" i="7"/>
  <c r="H99" i="7"/>
  <c r="O99" i="7" s="1"/>
  <c r="O98" i="7"/>
  <c r="L98" i="7"/>
  <c r="H98" i="7"/>
  <c r="Q98" i="7" s="1"/>
  <c r="L97" i="7"/>
  <c r="H97" i="7"/>
  <c r="R97" i="7" s="1"/>
  <c r="G95" i="7"/>
  <c r="F192" i="7"/>
  <c r="F193" i="7"/>
  <c r="F194" i="7"/>
  <c r="F195" i="7"/>
  <c r="F196" i="7"/>
  <c r="F197" i="7"/>
  <c r="F198" i="7"/>
  <c r="O204" i="7"/>
  <c r="M97" i="7" l="1"/>
  <c r="R98" i="7"/>
  <c r="S100" i="7"/>
  <c r="R104" i="7"/>
  <c r="S116" i="7"/>
  <c r="R118" i="7"/>
  <c r="S122" i="7"/>
  <c r="S133" i="7"/>
  <c r="R134" i="7"/>
  <c r="S139" i="7"/>
  <c r="O142" i="7"/>
  <c r="S163" i="7"/>
  <c r="S171" i="7"/>
  <c r="R100" i="7"/>
  <c r="O116" i="7"/>
  <c r="O124" i="7"/>
  <c r="S141" i="7"/>
  <c r="R144" i="7"/>
  <c r="M163" i="7"/>
  <c r="M171" i="7"/>
  <c r="S98" i="7"/>
  <c r="O110" i="7"/>
  <c r="M111" i="7"/>
  <c r="M115" i="7"/>
  <c r="O130" i="7"/>
  <c r="S134" i="7"/>
  <c r="O138" i="7"/>
  <c r="O162" i="7"/>
  <c r="S167" i="7"/>
  <c r="O168" i="7"/>
  <c r="O102" i="7"/>
  <c r="S107" i="7"/>
  <c r="O108" i="7"/>
  <c r="S112" i="7"/>
  <c r="O114" i="7"/>
  <c r="S115" i="7"/>
  <c r="R116" i="7"/>
  <c r="O122" i="7"/>
  <c r="R124" i="7"/>
  <c r="S126" i="7"/>
  <c r="O128" i="7"/>
  <c r="M129" i="7"/>
  <c r="R130" i="7"/>
  <c r="S137" i="7"/>
  <c r="R140" i="7"/>
  <c r="S148" i="7"/>
  <c r="O154" i="7"/>
  <c r="M156" i="7"/>
  <c r="S158" i="7"/>
  <c r="R162" i="7"/>
  <c r="R166" i="7"/>
  <c r="R170" i="7"/>
  <c r="O106" i="7"/>
  <c r="M107" i="7"/>
  <c r="R108" i="7"/>
  <c r="O112" i="7"/>
  <c r="R114" i="7"/>
  <c r="R122" i="7"/>
  <c r="O126" i="7"/>
  <c r="R128" i="7"/>
  <c r="R132" i="7"/>
  <c r="R136" i="7"/>
  <c r="O147" i="7"/>
  <c r="O158" i="7"/>
  <c r="F199" i="7"/>
  <c r="N192" i="7" s="1"/>
  <c r="N197" i="7" s="1"/>
  <c r="O100" i="7"/>
  <c r="R106" i="7"/>
  <c r="R112" i="7"/>
  <c r="R126" i="7"/>
  <c r="S138" i="7"/>
  <c r="M141" i="7"/>
  <c r="R147" i="7"/>
  <c r="S149" i="7"/>
  <c r="M157" i="7"/>
  <c r="S164" i="7"/>
  <c r="S168" i="7"/>
  <c r="M151" i="7"/>
  <c r="S97" i="7"/>
  <c r="M101" i="7"/>
  <c r="M105" i="7"/>
  <c r="M125" i="7"/>
  <c r="M133" i="7"/>
  <c r="M148" i="7"/>
  <c r="M121" i="7"/>
  <c r="S104" i="7"/>
  <c r="M104" i="7"/>
  <c r="O109" i="7"/>
  <c r="S109" i="7"/>
  <c r="M109" i="7"/>
  <c r="R109" i="7"/>
  <c r="O131" i="7"/>
  <c r="S131" i="7"/>
  <c r="M131" i="7"/>
  <c r="R131" i="7"/>
  <c r="S144" i="7"/>
  <c r="M144" i="7"/>
  <c r="O97" i="7"/>
  <c r="R99" i="7"/>
  <c r="M100" i="7"/>
  <c r="O101" i="7"/>
  <c r="R102" i="7"/>
  <c r="S106" i="7"/>
  <c r="M106" i="7"/>
  <c r="O120" i="7"/>
  <c r="S120" i="7"/>
  <c r="M120" i="7"/>
  <c r="R120" i="7"/>
  <c r="O127" i="7"/>
  <c r="S127" i="7"/>
  <c r="M127" i="7"/>
  <c r="R127" i="7"/>
  <c r="S128" i="7"/>
  <c r="M128" i="7"/>
  <c r="S143" i="7"/>
  <c r="S150" i="7"/>
  <c r="S165" i="7"/>
  <c r="O169" i="7"/>
  <c r="R169" i="7"/>
  <c r="S170" i="7"/>
  <c r="M170" i="7"/>
  <c r="S110" i="7"/>
  <c r="M110" i="7"/>
  <c r="O143" i="7"/>
  <c r="M143" i="7"/>
  <c r="R143" i="7"/>
  <c r="O155" i="7"/>
  <c r="S155" i="7"/>
  <c r="M155" i="7"/>
  <c r="R155" i="7"/>
  <c r="O160" i="7"/>
  <c r="M160" i="7"/>
  <c r="S166" i="7"/>
  <c r="M166" i="7"/>
  <c r="Q97" i="7"/>
  <c r="Q101" i="7"/>
  <c r="R103" i="7"/>
  <c r="O103" i="7"/>
  <c r="Q109" i="7"/>
  <c r="O117" i="7"/>
  <c r="S117" i="7"/>
  <c r="M117" i="7"/>
  <c r="R117" i="7"/>
  <c r="S118" i="7"/>
  <c r="M118" i="7"/>
  <c r="O123" i="7"/>
  <c r="S123" i="7"/>
  <c r="M123" i="7"/>
  <c r="R123" i="7"/>
  <c r="S124" i="7"/>
  <c r="M124" i="7"/>
  <c r="Q131" i="7"/>
  <c r="O135" i="7"/>
  <c r="S135" i="7"/>
  <c r="M135" i="7"/>
  <c r="R135" i="7"/>
  <c r="S136" i="7"/>
  <c r="M136" i="7"/>
  <c r="Q143" i="7"/>
  <c r="O146" i="7"/>
  <c r="S146" i="7"/>
  <c r="M146" i="7"/>
  <c r="R146" i="7"/>
  <c r="S147" i="7"/>
  <c r="M147" i="7"/>
  <c r="Q155" i="7"/>
  <c r="O159" i="7"/>
  <c r="M159" i="7"/>
  <c r="O161" i="7"/>
  <c r="S161" i="7"/>
  <c r="M161" i="7"/>
  <c r="R161" i="7"/>
  <c r="S162" i="7"/>
  <c r="M162" i="7"/>
  <c r="S169" i="7"/>
  <c r="Q99" i="7"/>
  <c r="S132" i="7"/>
  <c r="M132" i="7"/>
  <c r="O150" i="7"/>
  <c r="M150" i="7"/>
  <c r="O165" i="7"/>
  <c r="M165" i="7"/>
  <c r="R165" i="7"/>
  <c r="M99" i="7"/>
  <c r="S99" i="7"/>
  <c r="S103" i="7"/>
  <c r="M98" i="7"/>
  <c r="M102" i="7"/>
  <c r="O105" i="7"/>
  <c r="R105" i="7"/>
  <c r="S105" i="7"/>
  <c r="O113" i="7"/>
  <c r="S113" i="7"/>
  <c r="M113" i="7"/>
  <c r="R113" i="7"/>
  <c r="S114" i="7"/>
  <c r="M114" i="7"/>
  <c r="Q120" i="7"/>
  <c r="O139" i="7"/>
  <c r="M139" i="7"/>
  <c r="R139" i="7"/>
  <c r="S140" i="7"/>
  <c r="M140" i="7"/>
  <c r="Q169" i="7"/>
  <c r="O107" i="7"/>
  <c r="O111" i="7"/>
  <c r="O115" i="7"/>
  <c r="O125" i="7"/>
  <c r="O129" i="7"/>
  <c r="O133" i="7"/>
  <c r="O137" i="7"/>
  <c r="Q138" i="7"/>
  <c r="O141" i="7"/>
  <c r="Q142" i="7"/>
  <c r="O148" i="7"/>
  <c r="Q149" i="7"/>
  <c r="O151" i="7"/>
  <c r="Q154" i="7"/>
  <c r="Q158" i="7"/>
  <c r="O163" i="7"/>
  <c r="Q164" i="7"/>
  <c r="O167" i="7"/>
  <c r="Q168" i="7"/>
  <c r="O171" i="7"/>
  <c r="Q107" i="7"/>
  <c r="Q111" i="7"/>
  <c r="Q115" i="7"/>
  <c r="Q125" i="7"/>
  <c r="Q129" i="7"/>
  <c r="O132" i="7"/>
  <c r="Q133" i="7"/>
  <c r="O136" i="7"/>
  <c r="Q137" i="7"/>
  <c r="O140" i="7"/>
  <c r="Q141" i="7"/>
  <c r="O144" i="7"/>
  <c r="Q148" i="7"/>
  <c r="Q151" i="7"/>
  <c r="M152" i="7"/>
  <c r="Q163" i="7"/>
  <c r="O166" i="7"/>
  <c r="Q167" i="7"/>
  <c r="M169" i="7"/>
  <c r="O170" i="7"/>
  <c r="Q171" i="7"/>
  <c r="M172" i="7"/>
  <c r="M174" i="7"/>
  <c r="M108" i="7"/>
  <c r="M112" i="7"/>
  <c r="M116" i="7"/>
  <c r="M119" i="7"/>
  <c r="M122" i="7"/>
  <c r="M126" i="7"/>
  <c r="M130" i="7"/>
  <c r="M134" i="7"/>
  <c r="M138" i="7"/>
  <c r="M142" i="7"/>
  <c r="M145" i="7"/>
  <c r="M149" i="7"/>
  <c r="M154" i="7"/>
  <c r="M158" i="7"/>
  <c r="M164" i="7"/>
  <c r="M168" i="7"/>
  <c r="N85" i="2"/>
  <c r="R176" i="7" l="1"/>
  <c r="D183" i="7" s="1"/>
  <c r="M176" i="7"/>
  <c r="S176" i="7"/>
  <c r="Q176" i="7"/>
  <c r="D182" i="7" s="1"/>
  <c r="O176" i="7"/>
  <c r="M177" i="7" s="1"/>
  <c r="Y85" i="2"/>
  <c r="L106" i="2"/>
  <c r="T106" i="2" s="1"/>
  <c r="Y106" i="2"/>
  <c r="Y104" i="2"/>
  <c r="T176" i="7" l="1"/>
  <c r="D184" i="7"/>
  <c r="D187" i="7" s="1"/>
  <c r="N106" i="2"/>
  <c r="O206" i="7" l="1"/>
  <c r="O205" i="7"/>
  <c r="P83" i="7"/>
  <c r="S81" i="7"/>
  <c r="R81" i="7"/>
  <c r="Q81" i="7"/>
  <c r="O81" i="7"/>
  <c r="M81" i="7"/>
  <c r="L81" i="7"/>
  <c r="R80" i="7"/>
  <c r="Q80" i="7"/>
  <c r="O80" i="7"/>
  <c r="L80" i="7"/>
  <c r="S80" i="7" s="1"/>
  <c r="S79" i="7"/>
  <c r="R79" i="7"/>
  <c r="Q79" i="7"/>
  <c r="O79" i="7"/>
  <c r="M79" i="7"/>
  <c r="L79" i="7"/>
  <c r="L78" i="7"/>
  <c r="H78" i="7"/>
  <c r="Q78" i="7" s="1"/>
  <c r="L77" i="7"/>
  <c r="H77" i="7"/>
  <c r="O77" i="7" s="1"/>
  <c r="L76" i="7"/>
  <c r="H76" i="7"/>
  <c r="Q76" i="7" s="1"/>
  <c r="L75" i="7"/>
  <c r="H75" i="7"/>
  <c r="Q75" i="7" s="1"/>
  <c r="L74" i="7"/>
  <c r="H74" i="7"/>
  <c r="L73" i="7"/>
  <c r="H73" i="7"/>
  <c r="O73" i="7" s="1"/>
  <c r="L72" i="7"/>
  <c r="M72" i="7" s="1"/>
  <c r="H72" i="7"/>
  <c r="Q72" i="7" s="1"/>
  <c r="L71" i="7"/>
  <c r="H71" i="7"/>
  <c r="Q71" i="7" s="1"/>
  <c r="L70" i="7"/>
  <c r="H70" i="7"/>
  <c r="Q70" i="7" s="1"/>
  <c r="L69" i="7"/>
  <c r="H69" i="7"/>
  <c r="O69" i="7" s="1"/>
  <c r="L68" i="7"/>
  <c r="H68" i="7"/>
  <c r="Q68" i="7" s="1"/>
  <c r="L67" i="7"/>
  <c r="H67" i="7"/>
  <c r="O67" i="7" s="1"/>
  <c r="L66" i="7"/>
  <c r="H66" i="7"/>
  <c r="O66" i="7" s="1"/>
  <c r="L65" i="7"/>
  <c r="H65" i="7"/>
  <c r="Q65" i="7" s="1"/>
  <c r="R64" i="7"/>
  <c r="Q64" i="7"/>
  <c r="O64" i="7"/>
  <c r="L64" i="7"/>
  <c r="S64" i="7" s="1"/>
  <c r="L63" i="7"/>
  <c r="H63" i="7"/>
  <c r="O63" i="7" s="1"/>
  <c r="L62" i="7"/>
  <c r="H62" i="7"/>
  <c r="Q62" i="7" s="1"/>
  <c r="L61" i="7"/>
  <c r="H61" i="7"/>
  <c r="Q61" i="7" s="1"/>
  <c r="R60" i="7"/>
  <c r="Q60" i="7"/>
  <c r="O60" i="7"/>
  <c r="L60" i="7"/>
  <c r="S60" i="7" s="1"/>
  <c r="R59" i="7"/>
  <c r="Q59" i="7"/>
  <c r="O59" i="7"/>
  <c r="L59" i="7"/>
  <c r="S59" i="7" s="1"/>
  <c r="L58" i="7"/>
  <c r="H58" i="7"/>
  <c r="L57" i="7"/>
  <c r="H57" i="7"/>
  <c r="Q57" i="7" s="1"/>
  <c r="L56" i="7"/>
  <c r="H56" i="7"/>
  <c r="Q56" i="7" s="1"/>
  <c r="L55" i="7"/>
  <c r="H55" i="7"/>
  <c r="Q55" i="7" s="1"/>
  <c r="L54" i="7"/>
  <c r="H54" i="7"/>
  <c r="O54" i="7" s="1"/>
  <c r="L53" i="7"/>
  <c r="S53" i="7" s="1"/>
  <c r="H53" i="7"/>
  <c r="Q53" i="7" s="1"/>
  <c r="R52" i="7"/>
  <c r="Q52" i="7"/>
  <c r="O52" i="7"/>
  <c r="L52" i="7"/>
  <c r="L51" i="7"/>
  <c r="H51" i="7"/>
  <c r="O51" i="7" s="1"/>
  <c r="L50" i="7"/>
  <c r="H50" i="7"/>
  <c r="R50" i="7" s="1"/>
  <c r="L49" i="7"/>
  <c r="H49" i="7"/>
  <c r="Q49" i="7" s="1"/>
  <c r="L48" i="7"/>
  <c r="H48" i="7"/>
  <c r="Q48" i="7" s="1"/>
  <c r="L47" i="7"/>
  <c r="H47" i="7"/>
  <c r="R47" i="7" s="1"/>
  <c r="L46" i="7"/>
  <c r="H46" i="7"/>
  <c r="R46" i="7" s="1"/>
  <c r="L45" i="7"/>
  <c r="H45" i="7"/>
  <c r="Q45" i="7" s="1"/>
  <c r="L44" i="7"/>
  <c r="H44" i="7"/>
  <c r="Q44" i="7" s="1"/>
  <c r="L43" i="7"/>
  <c r="H43" i="7"/>
  <c r="R43" i="7" s="1"/>
  <c r="L42" i="7"/>
  <c r="H42" i="7"/>
  <c r="R42" i="7" s="1"/>
  <c r="L41" i="7"/>
  <c r="H41" i="7"/>
  <c r="Q41" i="7" s="1"/>
  <c r="L40" i="7"/>
  <c r="H40" i="7"/>
  <c r="Q40" i="7" s="1"/>
  <c r="L39" i="7"/>
  <c r="H39" i="7"/>
  <c r="R39" i="7" s="1"/>
  <c r="L38" i="7"/>
  <c r="H38" i="7"/>
  <c r="R38" i="7" s="1"/>
  <c r="L37" i="7"/>
  <c r="H37" i="7"/>
  <c r="Q37" i="7" s="1"/>
  <c r="L36" i="7"/>
  <c r="H36" i="7"/>
  <c r="L35" i="7"/>
  <c r="H35" i="7"/>
  <c r="R35" i="7" s="1"/>
  <c r="L34" i="7"/>
  <c r="H34" i="7"/>
  <c r="R34" i="7" s="1"/>
  <c r="L33" i="7"/>
  <c r="H33" i="7"/>
  <c r="Q33" i="7" s="1"/>
  <c r="L32" i="7"/>
  <c r="H32" i="7"/>
  <c r="Q32" i="7" s="1"/>
  <c r="L31" i="7"/>
  <c r="H31" i="7"/>
  <c r="R31" i="7" s="1"/>
  <c r="L30" i="7"/>
  <c r="H30" i="7"/>
  <c r="R30" i="7" s="1"/>
  <c r="L29" i="7"/>
  <c r="H29" i="7"/>
  <c r="Q29" i="7" s="1"/>
  <c r="R28" i="7"/>
  <c r="Q28" i="7"/>
  <c r="O28" i="7"/>
  <c r="L28" i="7"/>
  <c r="S28" i="7" s="1"/>
  <c r="L27" i="7"/>
  <c r="H27" i="7"/>
  <c r="R27" i="7" s="1"/>
  <c r="R26" i="7"/>
  <c r="Q26" i="7"/>
  <c r="O26" i="7"/>
  <c r="L26" i="7"/>
  <c r="S26" i="7" s="1"/>
  <c r="L25" i="7"/>
  <c r="H25" i="7"/>
  <c r="R25" i="7" s="1"/>
  <c r="L24" i="7"/>
  <c r="H24" i="7"/>
  <c r="R24" i="7" s="1"/>
  <c r="L23" i="7"/>
  <c r="H23" i="7"/>
  <c r="Q23" i="7" s="1"/>
  <c r="L22" i="7"/>
  <c r="H22" i="7"/>
  <c r="O22" i="7" s="1"/>
  <c r="L21" i="7"/>
  <c r="H21" i="7"/>
  <c r="Q21" i="7" s="1"/>
  <c r="L20" i="7"/>
  <c r="H20" i="7"/>
  <c r="R20" i="7" s="1"/>
  <c r="L19" i="7"/>
  <c r="H19" i="7"/>
  <c r="Q19" i="7" s="1"/>
  <c r="L18" i="7"/>
  <c r="H18" i="7"/>
  <c r="O18" i="7" s="1"/>
  <c r="L17" i="7"/>
  <c r="H17" i="7"/>
  <c r="Q17" i="7" s="1"/>
  <c r="L16" i="7"/>
  <c r="R16" i="7"/>
  <c r="L15" i="7"/>
  <c r="H15" i="7"/>
  <c r="Q15" i="7" s="1"/>
  <c r="L14" i="7"/>
  <c r="H14" i="7"/>
  <c r="O14" i="7" s="1"/>
  <c r="L13" i="7"/>
  <c r="H13" i="7"/>
  <c r="R13" i="7" s="1"/>
  <c r="L12" i="7"/>
  <c r="H12" i="7"/>
  <c r="R12" i="7" s="1"/>
  <c r="L11" i="7"/>
  <c r="H11" i="7"/>
  <c r="R11" i="7" s="1"/>
  <c r="L10" i="7"/>
  <c r="H10" i="7"/>
  <c r="O10" i="7" s="1"/>
  <c r="L9" i="7"/>
  <c r="H9" i="7"/>
  <c r="Q9" i="7" s="1"/>
  <c r="L8" i="7"/>
  <c r="H8" i="7"/>
  <c r="R8" i="7" s="1"/>
  <c r="L7" i="7"/>
  <c r="H7" i="7"/>
  <c r="Q7" i="7" s="1"/>
  <c r="L6" i="7"/>
  <c r="H6" i="7"/>
  <c r="O6" i="7" s="1"/>
  <c r="L5" i="7"/>
  <c r="H5" i="7"/>
  <c r="R5" i="7" s="1"/>
  <c r="L4" i="7"/>
  <c r="H4" i="7"/>
  <c r="R4" i="7" s="1"/>
  <c r="G2" i="7"/>
  <c r="S4" i="7" l="1"/>
  <c r="O50" i="7"/>
  <c r="R71" i="7"/>
  <c r="O7" i="7"/>
  <c r="S9" i="7"/>
  <c r="M15" i="7"/>
  <c r="O53" i="7"/>
  <c r="M59" i="7"/>
  <c r="S62" i="7"/>
  <c r="M10" i="7"/>
  <c r="M16" i="7"/>
  <c r="M20" i="7"/>
  <c r="M27" i="7"/>
  <c r="M30" i="7"/>
  <c r="S32" i="7"/>
  <c r="S34" i="7"/>
  <c r="S42" i="7"/>
  <c r="S50" i="7"/>
  <c r="O24" i="7"/>
  <c r="R29" i="7"/>
  <c r="O39" i="7"/>
  <c r="R56" i="7"/>
  <c r="S15" i="7"/>
  <c r="M19" i="7"/>
  <c r="S7" i="7"/>
  <c r="Q18" i="7"/>
  <c r="M23" i="7"/>
  <c r="O27" i="7"/>
  <c r="O34" i="7"/>
  <c r="S43" i="7"/>
  <c r="M66" i="7"/>
  <c r="S68" i="7"/>
  <c r="O72" i="7"/>
  <c r="M76" i="7"/>
  <c r="O17" i="7"/>
  <c r="O31" i="7"/>
  <c r="R49" i="7"/>
  <c r="O4" i="7"/>
  <c r="R15" i="7"/>
  <c r="O16" i="7"/>
  <c r="S24" i="7"/>
  <c r="O30" i="7"/>
  <c r="S39" i="7"/>
  <c r="M42" i="7"/>
  <c r="S46" i="7"/>
  <c r="S48" i="7"/>
  <c r="M53" i="7"/>
  <c r="M67" i="7"/>
  <c r="S72" i="7"/>
  <c r="S12" i="7"/>
  <c r="S38" i="7"/>
  <c r="S76" i="7"/>
  <c r="S6" i="7"/>
  <c r="M7" i="7"/>
  <c r="S8" i="7"/>
  <c r="S11" i="7"/>
  <c r="S16" i="7"/>
  <c r="R18" i="7"/>
  <c r="R19" i="7"/>
  <c r="O20" i="7"/>
  <c r="R23" i="7"/>
  <c r="M24" i="7"/>
  <c r="S25" i="7"/>
  <c r="M26" i="7"/>
  <c r="S27" i="7"/>
  <c r="S30" i="7"/>
  <c r="M34" i="7"/>
  <c r="S35" i="7"/>
  <c r="S40" i="7"/>
  <c r="R41" i="7"/>
  <c r="O42" i="7"/>
  <c r="O43" i="7"/>
  <c r="M46" i="7"/>
  <c r="S47" i="7"/>
  <c r="R53" i="7"/>
  <c r="S57" i="7"/>
  <c r="M62" i="7"/>
  <c r="M63" i="7"/>
  <c r="M68" i="7"/>
  <c r="S69" i="7"/>
  <c r="R72" i="7"/>
  <c r="S77" i="7"/>
  <c r="S78" i="7"/>
  <c r="R6" i="7"/>
  <c r="M11" i="7"/>
  <c r="M12" i="7"/>
  <c r="S20" i="7"/>
  <c r="S23" i="7"/>
  <c r="O25" i="7"/>
  <c r="R33" i="7"/>
  <c r="O35" i="7"/>
  <c r="M38" i="7"/>
  <c r="R45" i="7"/>
  <c r="O46" i="7"/>
  <c r="O47" i="7"/>
  <c r="S51" i="7"/>
  <c r="M57" i="7"/>
  <c r="R61" i="7"/>
  <c r="O62" i="7"/>
  <c r="R65" i="7"/>
  <c r="O68" i="7"/>
  <c r="R75" i="7"/>
  <c r="O76" i="7"/>
  <c r="O8" i="7"/>
  <c r="S5" i="7"/>
  <c r="R10" i="7"/>
  <c r="O12" i="7"/>
  <c r="S19" i="7"/>
  <c r="Q25" i="7"/>
  <c r="S31" i="7"/>
  <c r="R37" i="7"/>
  <c r="O38" i="7"/>
  <c r="M50" i="7"/>
  <c r="S54" i="7"/>
  <c r="O57" i="7"/>
  <c r="R62" i="7"/>
  <c r="R68" i="7"/>
  <c r="S73" i="7"/>
  <c r="R76" i="7"/>
  <c r="Q5" i="7"/>
  <c r="M6" i="7"/>
  <c r="R9" i="7"/>
  <c r="S29" i="7"/>
  <c r="M29" i="7"/>
  <c r="O36" i="7"/>
  <c r="R36" i="7"/>
  <c r="S45" i="7"/>
  <c r="M45" i="7"/>
  <c r="S58" i="7"/>
  <c r="M4" i="7"/>
  <c r="O5" i="7"/>
  <c r="Q6" i="7"/>
  <c r="R7" i="7"/>
  <c r="M8" i="7"/>
  <c r="O9" i="7"/>
  <c r="Q10" i="7"/>
  <c r="Q13" i="7"/>
  <c r="R14" i="7"/>
  <c r="S17" i="7"/>
  <c r="S18" i="7"/>
  <c r="M18" i="7"/>
  <c r="R22" i="7"/>
  <c r="O32" i="7"/>
  <c r="R32" i="7"/>
  <c r="S33" i="7"/>
  <c r="M33" i="7"/>
  <c r="Q36" i="7"/>
  <c r="O40" i="7"/>
  <c r="R40" i="7"/>
  <c r="S41" i="7"/>
  <c r="M41" i="7"/>
  <c r="O48" i="7"/>
  <c r="R48" i="7"/>
  <c r="S49" i="7"/>
  <c r="M49" i="7"/>
  <c r="S55" i="7"/>
  <c r="O78" i="7"/>
  <c r="R78" i="7"/>
  <c r="O58" i="7"/>
  <c r="R58" i="7"/>
  <c r="O74" i="7"/>
  <c r="R74" i="7"/>
  <c r="S75" i="7"/>
  <c r="M75" i="7"/>
  <c r="Q4" i="7"/>
  <c r="S10" i="7"/>
  <c r="S13" i="7"/>
  <c r="S52" i="7"/>
  <c r="M52" i="7"/>
  <c r="S71" i="7"/>
  <c r="M71" i="7"/>
  <c r="S74" i="7"/>
  <c r="P208" i="7"/>
  <c r="O207" i="7"/>
  <c r="S21" i="7"/>
  <c r="M21" i="7"/>
  <c r="R21" i="7"/>
  <c r="Q8" i="7"/>
  <c r="S14" i="7"/>
  <c r="M14" i="7"/>
  <c r="S22" i="7"/>
  <c r="M22" i="7"/>
  <c r="S37" i="7"/>
  <c r="M37" i="7"/>
  <c r="O44" i="7"/>
  <c r="R44" i="7"/>
  <c r="O70" i="7"/>
  <c r="R70" i="7"/>
  <c r="M5" i="7"/>
  <c r="M9" i="7"/>
  <c r="Q11" i="7"/>
  <c r="O11" i="7"/>
  <c r="O13" i="7"/>
  <c r="Q14" i="7"/>
  <c r="M17" i="7"/>
  <c r="R17" i="7"/>
  <c r="O21" i="7"/>
  <c r="Q22" i="7"/>
  <c r="S36" i="7"/>
  <c r="S44" i="7"/>
  <c r="O55" i="7"/>
  <c r="R55" i="7"/>
  <c r="S56" i="7"/>
  <c r="M56" i="7"/>
  <c r="Q58" i="7"/>
  <c r="S61" i="7"/>
  <c r="M61" i="7"/>
  <c r="S65" i="7"/>
  <c r="M65" i="7"/>
  <c r="S70" i="7"/>
  <c r="Q74" i="7"/>
  <c r="Q31" i="7"/>
  <c r="Q35" i="7"/>
  <c r="Q39" i="7"/>
  <c r="Q43" i="7"/>
  <c r="Q47" i="7"/>
  <c r="Q51" i="7"/>
  <c r="Q54" i="7"/>
  <c r="Q69" i="7"/>
  <c r="Q73" i="7"/>
  <c r="Q77" i="7"/>
  <c r="Q12" i="7"/>
  <c r="O15" i="7"/>
  <c r="Q16" i="7"/>
  <c r="O19" i="7"/>
  <c r="Q20" i="7"/>
  <c r="O23" i="7"/>
  <c r="Q24" i="7"/>
  <c r="Q27" i="7"/>
  <c r="M28" i="7"/>
  <c r="O29" i="7"/>
  <c r="Q30" i="7"/>
  <c r="M32" i="7"/>
  <c r="O33" i="7"/>
  <c r="Q34" i="7"/>
  <c r="M36" i="7"/>
  <c r="O37" i="7"/>
  <c r="Q38" i="7"/>
  <c r="M40" i="7"/>
  <c r="O41" i="7"/>
  <c r="Q42" i="7"/>
  <c r="M44" i="7"/>
  <c r="O45" i="7"/>
  <c r="Q46" i="7"/>
  <c r="M48" i="7"/>
  <c r="O49" i="7"/>
  <c r="Q50" i="7"/>
  <c r="R51" i="7"/>
  <c r="R54" i="7"/>
  <c r="M55" i="7"/>
  <c r="O56" i="7"/>
  <c r="M58" i="7"/>
  <c r="M60" i="7"/>
  <c r="O61" i="7"/>
  <c r="M64" i="7"/>
  <c r="O65" i="7"/>
  <c r="R69" i="7"/>
  <c r="M70" i="7"/>
  <c r="O71" i="7"/>
  <c r="R73" i="7"/>
  <c r="M74" i="7"/>
  <c r="O75" i="7"/>
  <c r="R77" i="7"/>
  <c r="M78" i="7"/>
  <c r="M80" i="7"/>
  <c r="M13" i="7"/>
  <c r="M25" i="7"/>
  <c r="M31" i="7"/>
  <c r="M35" i="7"/>
  <c r="M39" i="7"/>
  <c r="M43" i="7"/>
  <c r="M47" i="7"/>
  <c r="M51" i="7"/>
  <c r="M54" i="7"/>
  <c r="M69" i="7"/>
  <c r="M73" i="7"/>
  <c r="M77" i="7"/>
  <c r="Y101" i="2"/>
  <c r="L101" i="2"/>
  <c r="T101" i="2" s="1"/>
  <c r="N101" i="2" l="1"/>
  <c r="R83" i="7"/>
  <c r="L183" i="7" s="1"/>
  <c r="O83" i="7"/>
  <c r="M84" i="7" s="1"/>
  <c r="S83" i="7"/>
  <c r="L184" i="7" s="1"/>
  <c r="Q83" i="7"/>
  <c r="L182" i="7" s="1"/>
  <c r="M83" i="7"/>
  <c r="Q35" i="4" l="1"/>
  <c r="M85" i="7"/>
  <c r="L187" i="7"/>
  <c r="T83" i="7"/>
  <c r="O124" i="4"/>
  <c r="Q79" i="4"/>
  <c r="Q80" i="4"/>
  <c r="Y88" i="2" l="1"/>
  <c r="L88" i="2"/>
  <c r="T88" i="2" s="1"/>
  <c r="Y87" i="2"/>
  <c r="L87" i="2"/>
  <c r="T87" i="2" s="1"/>
  <c r="Y86" i="2"/>
  <c r="L86" i="2"/>
  <c r="T86" i="2" s="1"/>
  <c r="Y115" i="2"/>
  <c r="L115" i="2"/>
  <c r="T115" i="2" s="1"/>
  <c r="Y116" i="2"/>
  <c r="L116" i="2"/>
  <c r="T116" i="2" s="1"/>
  <c r="Y119" i="2"/>
  <c r="L119" i="2"/>
  <c r="T119" i="2" s="1"/>
  <c r="Y78" i="2"/>
  <c r="L78" i="2"/>
  <c r="Y73" i="2"/>
  <c r="L73" i="2"/>
  <c r="T73" i="2" s="1"/>
  <c r="Y77" i="2"/>
  <c r="L77" i="2"/>
  <c r="T77" i="2" s="1"/>
  <c r="Y76" i="2"/>
  <c r="L76" i="2"/>
  <c r="T76" i="2" s="1"/>
  <c r="Y74" i="2"/>
  <c r="L74" i="2"/>
  <c r="T74" i="2" s="1"/>
  <c r="Y75" i="2"/>
  <c r="L75" i="2"/>
  <c r="T75" i="2" s="1"/>
  <c r="Y91" i="2"/>
  <c r="L91" i="2"/>
  <c r="T91" i="2" s="1"/>
  <c r="Y95" i="2"/>
  <c r="L95" i="2"/>
  <c r="T95" i="2" s="1"/>
  <c r="Y92" i="2"/>
  <c r="W92" i="2" s="1"/>
  <c r="L92" i="2"/>
  <c r="T92" i="2" s="1"/>
  <c r="Y81" i="2"/>
  <c r="L81" i="2"/>
  <c r="T81" i="2" s="1"/>
  <c r="Y80" i="2"/>
  <c r="L80" i="2"/>
  <c r="T80" i="2" s="1"/>
  <c r="Y83" i="2"/>
  <c r="L83" i="2"/>
  <c r="T83" i="2" s="1"/>
  <c r="Y84" i="2"/>
  <c r="L84" i="2"/>
  <c r="T84" i="2" s="1"/>
  <c r="Y79" i="2"/>
  <c r="L79" i="2"/>
  <c r="T79" i="2" s="1"/>
  <c r="Y72" i="2"/>
  <c r="Y107" i="2"/>
  <c r="L107" i="2"/>
  <c r="T107" i="2" s="1"/>
  <c r="Y111" i="2"/>
  <c r="W111" i="2" s="1"/>
  <c r="L111" i="2"/>
  <c r="T111" i="2" s="1"/>
  <c r="L109" i="2"/>
  <c r="T109" i="2" s="1"/>
  <c r="Y105" i="2"/>
  <c r="W105" i="2" s="1"/>
  <c r="L105" i="2"/>
  <c r="T105" i="2" s="1"/>
  <c r="Y112" i="2"/>
  <c r="W112" i="2" s="1"/>
  <c r="L112" i="2"/>
  <c r="T112" i="2" s="1"/>
  <c r="Y110" i="2"/>
  <c r="L110" i="2"/>
  <c r="T110" i="2" s="1"/>
  <c r="L104" i="2"/>
  <c r="Y82" i="2"/>
  <c r="L82" i="2"/>
  <c r="T82" i="2" s="1"/>
  <c r="Y98" i="2"/>
  <c r="W98" i="2" s="1"/>
  <c r="L98" i="2"/>
  <c r="Y99" i="2"/>
  <c r="L99" i="2"/>
  <c r="T99" i="2" s="1"/>
  <c r="Y100" i="2"/>
  <c r="W100" i="2" s="1"/>
  <c r="L100" i="2"/>
  <c r="T100" i="2" s="1"/>
  <c r="Y93" i="2"/>
  <c r="W93" i="2" s="1"/>
  <c r="L93" i="2"/>
  <c r="T93" i="2" s="1"/>
  <c r="Y94" i="2"/>
  <c r="L94" i="2"/>
  <c r="T94" i="2" s="1"/>
  <c r="Y67" i="2"/>
  <c r="L67" i="2"/>
  <c r="T67" i="2" s="1"/>
  <c r="Y68" i="2"/>
  <c r="W68" i="2" s="1"/>
  <c r="L68" i="2"/>
  <c r="T68" i="2" s="1"/>
  <c r="Y66" i="2"/>
  <c r="L66" i="2"/>
  <c r="Y65" i="2"/>
  <c r="L65" i="2"/>
  <c r="N65" i="2" s="1"/>
  <c r="Y64" i="2"/>
  <c r="L64" i="2"/>
  <c r="N64" i="2" s="1"/>
  <c r="S63" i="2"/>
  <c r="R63" i="2"/>
  <c r="L63" i="2"/>
  <c r="F61" i="2"/>
  <c r="T78" i="2" l="1"/>
  <c r="N78" i="2"/>
  <c r="T66" i="2"/>
  <c r="N66" i="2"/>
  <c r="T63" i="2"/>
  <c r="N63" i="2"/>
  <c r="N86" i="2"/>
  <c r="T65" i="2"/>
  <c r="N104" i="2"/>
  <c r="T104" i="2"/>
  <c r="T64" i="2"/>
  <c r="N98" i="2"/>
  <c r="T98" i="2"/>
  <c r="P128" i="2"/>
  <c r="R128" i="2"/>
  <c r="J172" i="2" s="1"/>
  <c r="S128" i="2"/>
  <c r="J173" i="2" s="1"/>
  <c r="N110" i="2"/>
  <c r="N109" i="2"/>
  <c r="N82" i="2"/>
  <c r="N68" i="2"/>
  <c r="N88" i="2"/>
  <c r="N75" i="2"/>
  <c r="N74" i="2"/>
  <c r="N119" i="2"/>
  <c r="N116" i="2"/>
  <c r="N115" i="2"/>
  <c r="N87" i="2"/>
  <c r="N112" i="2"/>
  <c r="N105" i="2"/>
  <c r="N111" i="2"/>
  <c r="N107" i="2"/>
  <c r="N79" i="2"/>
  <c r="N84" i="2"/>
  <c r="N83" i="2"/>
  <c r="N80" i="2"/>
  <c r="N81" i="2"/>
  <c r="N92" i="2"/>
  <c r="N95" i="2"/>
  <c r="N91" i="2"/>
  <c r="N76" i="2"/>
  <c r="N77" i="2"/>
  <c r="N73" i="2"/>
  <c r="N67" i="2"/>
  <c r="N94" i="2"/>
  <c r="N93" i="2"/>
  <c r="N100" i="2"/>
  <c r="N99" i="2"/>
  <c r="N128" i="2" l="1"/>
  <c r="N129" i="2" s="1"/>
  <c r="N160" i="2" s="1"/>
  <c r="P156" i="2"/>
  <c r="J175" i="2" s="1"/>
  <c r="T128" i="2"/>
  <c r="J174" i="2" s="1"/>
  <c r="J177" i="2" l="1"/>
  <c r="Q45" i="4" l="1"/>
  <c r="M45" i="4"/>
  <c r="Q155" i="2" l="1"/>
  <c r="P49" i="2" l="1"/>
  <c r="F2" i="2" l="1"/>
  <c r="P8" i="2" l="1"/>
  <c r="P9" i="2"/>
  <c r="P10" i="2"/>
  <c r="Q71" i="4" l="1"/>
  <c r="Q75" i="4" l="1"/>
  <c r="Q74" i="4"/>
  <c r="M75" i="4"/>
  <c r="M74" i="4"/>
  <c r="M71" i="4"/>
  <c r="O126" i="4" l="1"/>
  <c r="O125" i="4"/>
  <c r="O127" i="4" l="1"/>
  <c r="T154" i="2" l="1"/>
  <c r="S136" i="2"/>
  <c r="S137" i="2"/>
  <c r="S138" i="2"/>
  <c r="S139" i="2"/>
  <c r="S140" i="2"/>
  <c r="S141" i="2"/>
  <c r="S143" i="2"/>
  <c r="S144" i="2"/>
  <c r="S145" i="2"/>
  <c r="S146" i="2"/>
  <c r="S147" i="2"/>
  <c r="S148" i="2"/>
  <c r="S149" i="2"/>
  <c r="S150" i="2"/>
  <c r="S154" i="2"/>
  <c r="S135" i="2"/>
  <c r="R135" i="2"/>
  <c r="R155" i="2" s="1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4" i="2"/>
  <c r="S155" i="2" l="1"/>
  <c r="O173" i="2" s="1"/>
  <c r="O172" i="2"/>
  <c r="S59" i="2"/>
  <c r="D173" i="2" s="1"/>
  <c r="R59" i="2"/>
  <c r="D172" i="2" s="1"/>
  <c r="P48" i="2" l="1"/>
  <c r="P50" i="2"/>
  <c r="W150" i="2" l="1"/>
  <c r="W149" i="2"/>
  <c r="W148" i="2"/>
  <c r="W147" i="2"/>
  <c r="W146" i="2"/>
  <c r="W145" i="2"/>
  <c r="W144" i="2"/>
  <c r="W143" i="2"/>
  <c r="W141" i="2"/>
  <c r="W140" i="2"/>
  <c r="W139" i="2"/>
  <c r="W138" i="2"/>
  <c r="W137" i="2"/>
  <c r="W136" i="2"/>
  <c r="W135" i="2"/>
  <c r="W58" i="2"/>
  <c r="W57" i="2"/>
  <c r="W56" i="2"/>
  <c r="W55" i="2"/>
  <c r="W54" i="2"/>
  <c r="W53" i="2"/>
  <c r="W52" i="2"/>
  <c r="W51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V20" i="2" a="1"/>
  <c r="V20" i="2" s="1"/>
  <c r="W19" i="2"/>
  <c r="W18" i="2"/>
  <c r="W16" i="2"/>
  <c r="W15" i="2"/>
  <c r="W14" i="2"/>
  <c r="W13" i="2"/>
  <c r="W12" i="2"/>
  <c r="W11" i="2"/>
  <c r="W10" i="2"/>
  <c r="W9" i="2"/>
  <c r="W8" i="2"/>
  <c r="W7" i="2"/>
  <c r="W6" i="2"/>
  <c r="W5" i="2"/>
  <c r="W4" i="2"/>
  <c r="N150" i="2" l="1"/>
  <c r="N149" i="2"/>
  <c r="N148" i="2"/>
  <c r="N147" i="2"/>
  <c r="N146" i="2"/>
  <c r="N145" i="2"/>
  <c r="N144" i="2"/>
  <c r="N143" i="2"/>
  <c r="N141" i="2"/>
  <c r="N140" i="2"/>
  <c r="N139" i="2"/>
  <c r="N138" i="2"/>
  <c r="N137" i="2"/>
  <c r="N136" i="2"/>
  <c r="L135" i="2"/>
  <c r="N135" i="2" s="1"/>
  <c r="P58" i="2"/>
  <c r="L58" i="2"/>
  <c r="N58" i="2" s="1"/>
  <c r="P57" i="2"/>
  <c r="L57" i="2"/>
  <c r="N57" i="2" s="1"/>
  <c r="P56" i="2"/>
  <c r="L56" i="2"/>
  <c r="P55" i="2"/>
  <c r="L55" i="2"/>
  <c r="P54" i="2"/>
  <c r="L54" i="2"/>
  <c r="P53" i="2"/>
  <c r="L53" i="2"/>
  <c r="P52" i="2"/>
  <c r="L52" i="2"/>
  <c r="P51" i="2"/>
  <c r="L51" i="2"/>
  <c r="L50" i="2"/>
  <c r="L49" i="2"/>
  <c r="L48" i="2"/>
  <c r="P47" i="2"/>
  <c r="L47" i="2"/>
  <c r="P46" i="2"/>
  <c r="L46" i="2"/>
  <c r="P45" i="2"/>
  <c r="L45" i="2"/>
  <c r="P44" i="2"/>
  <c r="L44" i="2"/>
  <c r="P43" i="2"/>
  <c r="L43" i="2"/>
  <c r="P42" i="2"/>
  <c r="L42" i="2"/>
  <c r="P41" i="2"/>
  <c r="L41" i="2"/>
  <c r="P40" i="2"/>
  <c r="L40" i="2"/>
  <c r="P39" i="2"/>
  <c r="L39" i="2"/>
  <c r="P38" i="2"/>
  <c r="L38" i="2"/>
  <c r="P37" i="2"/>
  <c r="L37" i="2"/>
  <c r="P36" i="2"/>
  <c r="L36" i="2"/>
  <c r="P35" i="2"/>
  <c r="L35" i="2"/>
  <c r="P34" i="2"/>
  <c r="L34" i="2"/>
  <c r="P33" i="2"/>
  <c r="L33" i="2"/>
  <c r="P32" i="2"/>
  <c r="L32" i="2"/>
  <c r="P31" i="2"/>
  <c r="L31" i="2"/>
  <c r="P30" i="2"/>
  <c r="L30" i="2"/>
  <c r="P29" i="2"/>
  <c r="L29" i="2"/>
  <c r="P28" i="2"/>
  <c r="L28" i="2"/>
  <c r="P27" i="2"/>
  <c r="L27" i="2"/>
  <c r="P26" i="2"/>
  <c r="L26" i="2"/>
  <c r="P25" i="2"/>
  <c r="L25" i="2"/>
  <c r="P24" i="2"/>
  <c r="L24" i="2"/>
  <c r="P23" i="2"/>
  <c r="L23" i="2"/>
  <c r="P22" i="2"/>
  <c r="L22" i="2"/>
  <c r="P21" i="2"/>
  <c r="L21" i="2"/>
  <c r="P20" i="2"/>
  <c r="L20" i="2"/>
  <c r="P19" i="2"/>
  <c r="L19" i="2"/>
  <c r="P18" i="2"/>
  <c r="L18" i="2"/>
  <c r="L17" i="2"/>
  <c r="P16" i="2"/>
  <c r="L16" i="2"/>
  <c r="P15" i="2"/>
  <c r="L15" i="2"/>
  <c r="P14" i="2"/>
  <c r="L14" i="2"/>
  <c r="P13" i="2"/>
  <c r="L13" i="2"/>
  <c r="P12" i="2"/>
  <c r="L12" i="2"/>
  <c r="P11" i="2"/>
  <c r="L11" i="2"/>
  <c r="L10" i="2"/>
  <c r="L9" i="2"/>
  <c r="L8" i="2"/>
  <c r="P7" i="2"/>
  <c r="L7" i="2"/>
  <c r="P6" i="2"/>
  <c r="L6" i="2"/>
  <c r="P5" i="2"/>
  <c r="L5" i="2"/>
  <c r="P4" i="2"/>
  <c r="L4" i="2"/>
  <c r="N4" i="2" s="1"/>
  <c r="N155" i="2" l="1"/>
  <c r="T136" i="2"/>
  <c r="T138" i="2"/>
  <c r="T140" i="2"/>
  <c r="T143" i="2"/>
  <c r="T145" i="2"/>
  <c r="T147" i="2"/>
  <c r="T149" i="2"/>
  <c r="T148" i="2"/>
  <c r="T135" i="2"/>
  <c r="T137" i="2"/>
  <c r="T139" i="2"/>
  <c r="T141" i="2"/>
  <c r="T144" i="2"/>
  <c r="T146" i="2"/>
  <c r="T150" i="2"/>
  <c r="N8" i="2"/>
  <c r="T8" i="2"/>
  <c r="N14" i="2"/>
  <c r="T14" i="2"/>
  <c r="N49" i="2"/>
  <c r="T49" i="2"/>
  <c r="N52" i="2"/>
  <c r="T52" i="2"/>
  <c r="N54" i="2"/>
  <c r="T54" i="2"/>
  <c r="N56" i="2"/>
  <c r="T56" i="2"/>
  <c r="T58" i="2"/>
  <c r="N19" i="2"/>
  <c r="T19" i="2"/>
  <c r="N21" i="2"/>
  <c r="T21" i="2"/>
  <c r="N23" i="2"/>
  <c r="T23" i="2"/>
  <c r="N25" i="2"/>
  <c r="T25" i="2"/>
  <c r="N27" i="2"/>
  <c r="T27" i="2"/>
  <c r="N29" i="2"/>
  <c r="T29" i="2"/>
  <c r="N31" i="2"/>
  <c r="T31" i="2"/>
  <c r="N33" i="2"/>
  <c r="T33" i="2"/>
  <c r="N35" i="2"/>
  <c r="T35" i="2"/>
  <c r="N37" i="2"/>
  <c r="T37" i="2"/>
  <c r="N39" i="2"/>
  <c r="T39" i="2"/>
  <c r="N41" i="2"/>
  <c r="T41" i="2"/>
  <c r="N43" i="2"/>
  <c r="T43" i="2"/>
  <c r="N45" i="2"/>
  <c r="T45" i="2"/>
  <c r="N47" i="2"/>
  <c r="T47" i="2"/>
  <c r="N50" i="2"/>
  <c r="T50" i="2"/>
  <c r="N10" i="2"/>
  <c r="T10" i="2"/>
  <c r="N16" i="2"/>
  <c r="T16" i="2"/>
  <c r="N9" i="2"/>
  <c r="T9" i="2"/>
  <c r="N15" i="2"/>
  <c r="T15" i="2"/>
  <c r="N51" i="2"/>
  <c r="T51" i="2"/>
  <c r="N53" i="2"/>
  <c r="T53" i="2"/>
  <c r="N55" i="2"/>
  <c r="T55" i="2"/>
  <c r="T57" i="2"/>
  <c r="T4" i="2"/>
  <c r="N6" i="2"/>
  <c r="T6" i="2"/>
  <c r="N12" i="2"/>
  <c r="T12" i="2"/>
  <c r="N5" i="2"/>
  <c r="T5" i="2"/>
  <c r="N7" i="2"/>
  <c r="T7" i="2"/>
  <c r="N11" i="2"/>
  <c r="T11" i="2"/>
  <c r="N13" i="2"/>
  <c r="T13" i="2"/>
  <c r="N17" i="2"/>
  <c r="T17" i="2"/>
  <c r="N18" i="2"/>
  <c r="T18" i="2"/>
  <c r="N20" i="2"/>
  <c r="T20" i="2"/>
  <c r="N22" i="2"/>
  <c r="T22" i="2"/>
  <c r="N24" i="2"/>
  <c r="T24" i="2"/>
  <c r="N26" i="2"/>
  <c r="T26" i="2"/>
  <c r="N28" i="2"/>
  <c r="T28" i="2"/>
  <c r="N30" i="2"/>
  <c r="T30" i="2"/>
  <c r="N32" i="2"/>
  <c r="T32" i="2"/>
  <c r="N34" i="2"/>
  <c r="T34" i="2"/>
  <c r="N36" i="2"/>
  <c r="T36" i="2"/>
  <c r="N38" i="2"/>
  <c r="T38" i="2"/>
  <c r="N40" i="2"/>
  <c r="T40" i="2"/>
  <c r="N42" i="2"/>
  <c r="T42" i="2"/>
  <c r="N44" i="2"/>
  <c r="T44" i="2"/>
  <c r="N46" i="2"/>
  <c r="T46" i="2"/>
  <c r="N48" i="2"/>
  <c r="T48" i="2"/>
  <c r="P59" i="2"/>
  <c r="P155" i="2"/>
  <c r="O175" i="2" s="1"/>
  <c r="T155" i="2" l="1"/>
  <c r="D175" i="2"/>
  <c r="K157" i="2"/>
  <c r="N159" i="2" s="1"/>
  <c r="O162" i="2" s="1"/>
  <c r="N59" i="2"/>
  <c r="N60" i="2" s="1"/>
  <c r="N158" i="2" s="1"/>
  <c r="T59" i="2"/>
  <c r="P157" i="2"/>
  <c r="Q83" i="4"/>
  <c r="Q82" i="4"/>
  <c r="Q81" i="4"/>
  <c r="Q76" i="4"/>
  <c r="Q73" i="4"/>
  <c r="Q70" i="4"/>
  <c r="Q69" i="4"/>
  <c r="Q60" i="4"/>
  <c r="Q54" i="4"/>
  <c r="Q53" i="4"/>
  <c r="Q52" i="4"/>
  <c r="Q50" i="4"/>
  <c r="Q49" i="4"/>
  <c r="Q48" i="4"/>
  <c r="Q47" i="4"/>
  <c r="Q46" i="4"/>
  <c r="Q43" i="4"/>
  <c r="Q42" i="4"/>
  <c r="Q41" i="4"/>
  <c r="Q40" i="4"/>
  <c r="Q39" i="4"/>
  <c r="Q33" i="4"/>
  <c r="Q32" i="4"/>
  <c r="Q30" i="4"/>
  <c r="Q29" i="4"/>
  <c r="Q28" i="4"/>
  <c r="Q26" i="4"/>
  <c r="Q24" i="4"/>
  <c r="Q22" i="4"/>
  <c r="Q21" i="4"/>
  <c r="Q20" i="4"/>
  <c r="Q17" i="4"/>
  <c r="M16" i="4"/>
  <c r="M15" i="4"/>
  <c r="M14" i="4"/>
  <c r="Q9" i="4"/>
  <c r="Q8" i="4"/>
  <c r="Q5" i="4"/>
  <c r="L4" i="4"/>
  <c r="M4" i="4" s="1"/>
  <c r="M83" i="4" l="1"/>
  <c r="Q64" i="4"/>
  <c r="M7" i="4"/>
  <c r="Q7" i="4"/>
  <c r="M9" i="4"/>
  <c r="Q36" i="4"/>
  <c r="Q34" i="4"/>
  <c r="Q65" i="4"/>
  <c r="Q38" i="4"/>
  <c r="Q66" i="4"/>
  <c r="M82" i="4"/>
  <c r="O168" i="2"/>
  <c r="M8" i="4"/>
  <c r="O174" i="2"/>
  <c r="O177" i="2" s="1"/>
  <c r="U59" i="2"/>
  <c r="D174" i="2"/>
  <c r="D177" i="2" s="1"/>
  <c r="T4" i="4"/>
  <c r="T85" i="4" s="1"/>
  <c r="S4" i="4"/>
  <c r="R4" i="4"/>
  <c r="R85" i="4" s="1"/>
  <c r="M66" i="4"/>
  <c r="M65" i="4"/>
  <c r="M17" i="4"/>
  <c r="M23" i="4"/>
  <c r="M30" i="4"/>
  <c r="M70" i="4"/>
  <c r="M12" i="4"/>
  <c r="M26" i="4"/>
  <c r="M32" i="4"/>
  <c r="M63" i="4"/>
  <c r="M31" i="4"/>
  <c r="M64" i="4"/>
  <c r="M69" i="4"/>
  <c r="M72" i="4"/>
  <c r="M21" i="4"/>
  <c r="M28" i="4"/>
  <c r="M11" i="4"/>
  <c r="M5" i="4"/>
  <c r="M20" i="4"/>
  <c r="M24" i="4"/>
  <c r="M29" i="4"/>
  <c r="M22" i="4"/>
  <c r="M62" i="4"/>
  <c r="M33" i="4"/>
  <c r="M34" i="4"/>
  <c r="M35" i="4"/>
  <c r="M36" i="4"/>
  <c r="M38" i="4"/>
  <c r="M39" i="4"/>
  <c r="M40" i="4"/>
  <c r="M41" i="4"/>
  <c r="M42" i="4"/>
  <c r="M43" i="4"/>
  <c r="M44" i="4"/>
  <c r="M46" i="4"/>
  <c r="M47" i="4"/>
  <c r="M48" i="4"/>
  <c r="M49" i="4"/>
  <c r="M50" i="4"/>
  <c r="M53" i="4"/>
  <c r="M54" i="4"/>
  <c r="M73" i="4"/>
  <c r="M76" i="4"/>
  <c r="M79" i="4"/>
  <c r="M80" i="4"/>
  <c r="M81" i="4"/>
  <c r="Q85" i="4" l="1"/>
  <c r="O85" i="4"/>
  <c r="N102" i="4" s="1"/>
  <c r="M85" i="4"/>
  <c r="D101" i="4"/>
  <c r="S85" i="4"/>
  <c r="D102" i="4" s="1"/>
  <c r="D103" i="4"/>
  <c r="N101" i="4"/>
  <c r="N100" i="4"/>
  <c r="N21" i="1"/>
  <c r="N57" i="1"/>
  <c r="P57" i="1" s="1"/>
  <c r="D105" i="4" l="1"/>
  <c r="N103" i="4"/>
  <c r="N104" i="4" s="1"/>
  <c r="M86" i="4"/>
  <c r="M87" i="4" s="1"/>
  <c r="N89" i="4" s="1"/>
  <c r="D104" i="4"/>
  <c r="N56" i="1"/>
  <c r="P56" i="1" s="1"/>
  <c r="D106" i="4" l="1"/>
  <c r="N95" i="4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P73" i="1" s="1"/>
  <c r="N72" i="1"/>
  <c r="P72" i="1" s="1"/>
  <c r="N71" i="1"/>
  <c r="P71" i="1" s="1"/>
  <c r="N70" i="1"/>
  <c r="P70" i="1" s="1"/>
  <c r="N69" i="1"/>
  <c r="P69" i="1" s="1"/>
  <c r="N68" i="1"/>
  <c r="P68" i="1" s="1"/>
  <c r="N67" i="1"/>
  <c r="P67" i="1" s="1"/>
  <c r="N66" i="1"/>
  <c r="P66" i="1" s="1"/>
  <c r="N65" i="1"/>
  <c r="P65" i="1" s="1"/>
  <c r="N64" i="1"/>
  <c r="P64" i="1" s="1"/>
  <c r="N63" i="1"/>
  <c r="P63" i="1" s="1"/>
  <c r="N62" i="1"/>
  <c r="P62" i="1" s="1"/>
  <c r="N61" i="1"/>
  <c r="P61" i="1" s="1"/>
  <c r="N60" i="1"/>
  <c r="P60" i="1" s="1"/>
  <c r="N59" i="1"/>
  <c r="P59" i="1" s="1"/>
  <c r="N58" i="1"/>
  <c r="P58" i="1" s="1"/>
  <c r="N55" i="1"/>
  <c r="P55" i="1" s="1"/>
  <c r="N54" i="1"/>
  <c r="P54" i="1" s="1"/>
  <c r="N53" i="1"/>
  <c r="P53" i="1" s="1"/>
  <c r="N52" i="1"/>
  <c r="P52" i="1" s="1"/>
  <c r="N51" i="1"/>
  <c r="P51" i="1" s="1"/>
  <c r="N50" i="1"/>
  <c r="P50" i="1" s="1"/>
  <c r="N49" i="1"/>
  <c r="P49" i="1" s="1"/>
  <c r="N48" i="1"/>
  <c r="P48" i="1" s="1"/>
  <c r="N47" i="1"/>
  <c r="P47" i="1" s="1"/>
  <c r="N46" i="1"/>
  <c r="P46" i="1" s="1"/>
  <c r="N45" i="1"/>
  <c r="P45" i="1" s="1"/>
  <c r="N44" i="1"/>
  <c r="P44" i="1" s="1"/>
  <c r="N43" i="1"/>
  <c r="P43" i="1" s="1"/>
  <c r="N42" i="1"/>
  <c r="P42" i="1" s="1"/>
  <c r="N41" i="1"/>
  <c r="P41" i="1" s="1"/>
  <c r="N40" i="1"/>
  <c r="P40" i="1" s="1"/>
  <c r="N39" i="1"/>
  <c r="P39" i="1" s="1"/>
  <c r="N38" i="1"/>
  <c r="P38" i="1" s="1"/>
  <c r="N37" i="1"/>
  <c r="P37" i="1" s="1"/>
  <c r="N36" i="1"/>
  <c r="P36" i="1" s="1"/>
  <c r="N35" i="1"/>
  <c r="P35" i="1" s="1"/>
  <c r="N34" i="1"/>
  <c r="P34" i="1" s="1"/>
  <c r="N33" i="1"/>
  <c r="P33" i="1" s="1"/>
  <c r="N32" i="1"/>
  <c r="P32" i="1" s="1"/>
  <c r="N31" i="1"/>
  <c r="P31" i="1" s="1"/>
  <c r="N30" i="1"/>
  <c r="P30" i="1" s="1"/>
  <c r="N29" i="1"/>
  <c r="P29" i="1" s="1"/>
  <c r="N28" i="1"/>
  <c r="P28" i="1" s="1"/>
  <c r="N27" i="1"/>
  <c r="P27" i="1" s="1"/>
  <c r="N26" i="1"/>
  <c r="P26" i="1" s="1"/>
  <c r="N25" i="1"/>
  <c r="P25" i="1" s="1"/>
  <c r="N24" i="1"/>
  <c r="P24" i="1" s="1"/>
  <c r="N23" i="1"/>
  <c r="P23" i="1" s="1"/>
  <c r="N22" i="1"/>
  <c r="P22" i="1" s="1"/>
  <c r="P21" i="1"/>
  <c r="N20" i="1"/>
  <c r="P20" i="1" s="1"/>
  <c r="N19" i="1"/>
  <c r="P19" i="1" s="1"/>
  <c r="N18" i="1"/>
  <c r="P18" i="1" s="1"/>
  <c r="N17" i="1"/>
  <c r="P17" i="1" s="1"/>
  <c r="N16" i="1"/>
  <c r="P16" i="1" s="1"/>
  <c r="N15" i="1"/>
  <c r="P15" i="1" s="1"/>
  <c r="N14" i="1"/>
  <c r="P14" i="1" s="1"/>
  <c r="N13" i="1"/>
  <c r="P13" i="1" s="1"/>
  <c r="N12" i="1"/>
  <c r="P12" i="1" s="1"/>
  <c r="N11" i="1"/>
  <c r="P11" i="1" s="1"/>
  <c r="N10" i="1"/>
  <c r="P10" i="1" s="1"/>
  <c r="N9" i="1"/>
  <c r="P9" i="1" s="1"/>
  <c r="N8" i="1"/>
  <c r="P8" i="1" s="1"/>
  <c r="N7" i="1"/>
  <c r="P7" i="1" s="1"/>
  <c r="N6" i="1"/>
  <c r="P6" i="1" s="1"/>
  <c r="N5" i="1"/>
  <c r="P5" i="1" l="1"/>
  <c r="P8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IBRAHIM</author>
  </authors>
  <commentList>
    <comment ref="B2" authorId="0" shapeId="0" xr:uid="{D4BDDF8B-3CE9-497C-AE5F-2B1DDA549E36}">
      <text>
        <r>
          <rPr>
            <b/>
            <sz val="9"/>
            <color indexed="81"/>
            <rFont val="Tahoma"/>
            <family val="2"/>
          </rPr>
          <t>IBRAHIM:</t>
        </r>
        <r>
          <rPr>
            <sz val="9"/>
            <color indexed="81"/>
            <rFont val="Tahoma"/>
            <family val="2"/>
          </rPr>
          <t xml:space="preserve">
h</t>
        </r>
      </text>
    </comment>
  </commentList>
</comments>
</file>

<file path=xl/sharedStrings.xml><?xml version="1.0" encoding="utf-8"?>
<sst xmlns="http://schemas.openxmlformats.org/spreadsheetml/2006/main" count="1873" uniqueCount="542">
  <si>
    <t>OPENING STOCK</t>
  </si>
  <si>
    <t>STOCK INWARD</t>
  </si>
  <si>
    <t>STOCK OUTWARD</t>
  </si>
  <si>
    <t>BALANCE STOCK</t>
  </si>
  <si>
    <t>unit price</t>
  </si>
  <si>
    <t>Total Price</t>
  </si>
  <si>
    <t>S.NO.</t>
  </si>
  <si>
    <t>ITEM</t>
  </si>
  <si>
    <t>QTY.</t>
  </si>
  <si>
    <t>DATE</t>
  </si>
  <si>
    <t>একটিভ এনার্জি মিনি ৩০ গ্রাম</t>
  </si>
  <si>
    <t>ভ্যালেনসিয়া অরেঞ্জ ৬৫ গ্রাম</t>
  </si>
  <si>
    <t xml:space="preserve"> বাটার কুকিজ ৯০০গ্রাম JR</t>
  </si>
  <si>
    <t>ফ্যামিলি টাইম মিল্ক কুকিজ ২৬০গ্রাম</t>
  </si>
  <si>
    <t>লিচি ড্রিং ২৪ কেইস ১৫০ মিলি</t>
  </si>
  <si>
    <t>ড্রাম ড্রিংকং ওয়াটার ৫০০ মিলি</t>
  </si>
  <si>
    <t>ড্রাম ড্রিংকং ওয়াটার ১ লিটার</t>
  </si>
  <si>
    <t>ড্রাম ড্রিংকং ওয়াটার ২ লিটার</t>
  </si>
  <si>
    <t xml:space="preserve"> টিফিন কেক ভ্যানিলা ১৫ গ্রাম</t>
  </si>
  <si>
    <t xml:space="preserve"> টিফিন কেক চকলেট  ১৫ গ্রাম </t>
  </si>
  <si>
    <t xml:space="preserve"> টিফিন কেক মিল্ক  ১১ গ্রাম </t>
  </si>
  <si>
    <t xml:space="preserve"> কাস্টার্ড কেক ভ্যানিলা বক্স ২৫গ্রাম</t>
  </si>
  <si>
    <t>টিফিন কেক চকলেট বক্স ২৫গ্রাম</t>
  </si>
  <si>
    <t xml:space="preserve"> টিফিন কেক মিক্স বক্স ২৫গ্রাম</t>
  </si>
  <si>
    <t xml:space="preserve"> টিম টম বেলা বিস্কুট ২৫০গ্রাম</t>
  </si>
  <si>
    <t>নুডুলস ১৮০গ্রাম</t>
  </si>
  <si>
    <t xml:space="preserve"> ড্রাই কেক মিনি ৪০ গ্রাম </t>
  </si>
  <si>
    <t xml:space="preserve"> বাটার টোষ্ট ৩২০ গ্রাম </t>
  </si>
  <si>
    <t xml:space="preserve">  ডেইরি মিল্ক ৬ গ্রাম</t>
  </si>
  <si>
    <t xml:space="preserve"> ডেইরি মিল্ক ১২ গ্রাম</t>
  </si>
  <si>
    <t xml:space="preserve"> টিম টম বারস ভ্যানিলা ১৭ গ্রাম</t>
  </si>
  <si>
    <t xml:space="preserve"> টিম টম বারস চকলেট</t>
  </si>
  <si>
    <t xml:space="preserve"> মিল্ক বিস্কুট ৪৫গ্রাম </t>
  </si>
  <si>
    <t xml:space="preserve"> একটিভ এনার্জি ফ্যামিলি ২৪০ গ্রাম</t>
  </si>
  <si>
    <t xml:space="preserve"> ভ্যালেনসিয়া অরেঞ্জ ফ্যামিলি ২১০গ্রাম</t>
  </si>
  <si>
    <t xml:space="preserve">  বেস্টি চয়েজ ফ্যামিল ২৪০ গ্রাম</t>
  </si>
  <si>
    <t xml:space="preserve"> লেক্সাস মিনি ২০ গ্রাম</t>
  </si>
  <si>
    <t xml:space="preserve"> লেক্সাস ফ্যামিলি ২৪০ গ্রাম</t>
  </si>
  <si>
    <t xml:space="preserve"> এলাচি বিস্কুট ৬৫ গ্রাম</t>
  </si>
  <si>
    <t xml:space="preserve"> ক্রিম ক্লাব চকোপ্লাস 26 গ্রাম</t>
  </si>
  <si>
    <t xml:space="preserve"> ক্রিম ক্লাব ফুড প্লাস ৩৫ গ্রাম</t>
  </si>
  <si>
    <t xml:space="preserve"> ফ্যামিলি টাইম চকলেট কুকিজ ২৬০গ্রাম</t>
  </si>
  <si>
    <t xml:space="preserve"> কোকনাট কুকিজ ১০০ গ্রাম</t>
  </si>
  <si>
    <t xml:space="preserve"> ঘি টোস্ট ১৫ গ্রাম</t>
  </si>
  <si>
    <t xml:space="preserve"> জাফরান চানাচুর ২০ গ্রাম</t>
  </si>
  <si>
    <t xml:space="preserve"> জাফরান চানাচুর 75 গ্রাম</t>
  </si>
  <si>
    <t xml:space="preserve"> জাফরান চানাচুর ১৫০ গ্রাম</t>
  </si>
  <si>
    <t xml:space="preserve"> জাফরান ঝাল চানাচুর ২০গ্রাম</t>
  </si>
  <si>
    <t xml:space="preserve"> জাফরান ঝাল চানাচুর ৭৫গ্রাম</t>
  </si>
  <si>
    <t xml:space="preserve"> জাফরানঝাল চানাচুর ১৫০গ্রাম</t>
  </si>
  <si>
    <t xml:space="preserve">  ফ্রাইড পেইস ২০ গ্রাম</t>
  </si>
  <si>
    <t xml:space="preserve"> ফ্রাইড ডাল</t>
  </si>
  <si>
    <t xml:space="preserve"> টিম টম হট চানাচুর ১২ গ্রাম</t>
  </si>
  <si>
    <t xml:space="preserve"> টিম টম হট চানাচুর ৭৫ গ্রাম</t>
  </si>
  <si>
    <t xml:space="preserve"> টিম টম হট চানাচুর ১৫০ গ্রাম</t>
  </si>
  <si>
    <t xml:space="preserve"> আইস ললি ম্যাংগো ৪০মিলি paus</t>
  </si>
  <si>
    <t xml:space="preserve"> আইস ললি Jar ৪০মিলি</t>
  </si>
  <si>
    <t xml:space="preserve"> অরেঞ্জ ড্রিং ২৪ কেইস ১৫০ মিলি</t>
  </si>
  <si>
    <t xml:space="preserve"> সুইট টোস্ট ২৫০গ্রাম</t>
  </si>
  <si>
    <t>স্পেশাল টোষ্ট ৩২০ গ্রাম</t>
  </si>
  <si>
    <t>BDপটেটো ক্রেকারস-টমেটো ১৫গ্রাম</t>
  </si>
  <si>
    <t>BD হলুদ চনাচুর ২০০ গ্রাম</t>
  </si>
  <si>
    <t>BD ঝাল চনাচুর  22গ্রাম</t>
  </si>
  <si>
    <t>BD ঝাল চনাচুর  ১৫০গ্রাম</t>
  </si>
  <si>
    <t>BD ঝাল চনাচুর ৩০০গ্রাম</t>
  </si>
  <si>
    <t>BD বার বি কিউ চনাচুর ১৫০গ্রাম</t>
  </si>
  <si>
    <t>BD বার বি কিউ চনাচুর 300গ্রাম</t>
  </si>
  <si>
    <t>BD তেতুল চাটনি</t>
  </si>
  <si>
    <t>BD জলপাই চাটনি</t>
  </si>
  <si>
    <t>BD টমেটু সস ৮ গ্রাম</t>
  </si>
  <si>
    <t>BD টোষ্ট বিস্কুট ১৮৫গ্রাম</t>
  </si>
  <si>
    <t>BD বাটার বিস্কুট ১২- ২০০ গ্রাম</t>
  </si>
  <si>
    <t>BD Double টোস্ট বিস্কুট</t>
  </si>
  <si>
    <t>হলুদ গুড়া ১০০ গ্রাম</t>
  </si>
  <si>
    <t>মরিছ গুড়া ১০০ গ্রাম</t>
  </si>
  <si>
    <t>STOCK SHEET - JULY 2025</t>
  </si>
  <si>
    <t>Lis Salty Biscuit</t>
  </si>
  <si>
    <t>13/7/2025</t>
  </si>
  <si>
    <t>15/7/2025</t>
  </si>
  <si>
    <t>16/7/2025</t>
  </si>
  <si>
    <t>17/7/2025</t>
  </si>
  <si>
    <t>15 single</t>
  </si>
  <si>
    <t>24 pcs</t>
  </si>
  <si>
    <t>6 single</t>
  </si>
  <si>
    <t>12 PCS</t>
  </si>
  <si>
    <t>6 PCS</t>
  </si>
  <si>
    <t>6 pcs</t>
  </si>
  <si>
    <t>48 pcs</t>
  </si>
  <si>
    <t>10 single</t>
  </si>
  <si>
    <t>24 pkt</t>
  </si>
  <si>
    <t>40 pcs</t>
  </si>
  <si>
    <t>36 dozen</t>
  </si>
  <si>
    <t>12 pcs</t>
  </si>
  <si>
    <t>65 Dozen</t>
  </si>
  <si>
    <t>12 single</t>
  </si>
  <si>
    <t>4 single</t>
  </si>
  <si>
    <t>8 pcs</t>
  </si>
  <si>
    <t>2 single</t>
  </si>
  <si>
    <t>21/7/2025</t>
  </si>
  <si>
    <t>আলু ভোজিয়া</t>
  </si>
  <si>
    <t>20/7/2025</t>
  </si>
  <si>
    <t xml:space="preserve"> একটিভ এনার্জি ৬০ গ্রাম ST</t>
  </si>
  <si>
    <t>22/7/2025</t>
  </si>
  <si>
    <t>23/7/2025</t>
  </si>
  <si>
    <t>24/7/2025</t>
  </si>
  <si>
    <t>26/7/2025</t>
  </si>
  <si>
    <t>27/7/2025</t>
  </si>
  <si>
    <t>28/7/2025</t>
  </si>
  <si>
    <t>29/7/2025</t>
  </si>
  <si>
    <t>30/7/2025</t>
  </si>
  <si>
    <t>Products Name</t>
  </si>
  <si>
    <t>ctn size</t>
  </si>
  <si>
    <t>Trade Price</t>
  </si>
  <si>
    <t>FOC</t>
  </si>
  <si>
    <t>ETP</t>
  </si>
  <si>
    <t>Order Qty</t>
  </si>
  <si>
    <t>Return Qty</t>
  </si>
  <si>
    <t>Sale Qty</t>
  </si>
  <si>
    <t>Value price</t>
  </si>
  <si>
    <t>Damage Qty</t>
  </si>
  <si>
    <t>Damage Price</t>
  </si>
  <si>
    <t>কমিশন</t>
  </si>
  <si>
    <t>DATE:</t>
  </si>
  <si>
    <t>Invoice No</t>
  </si>
  <si>
    <t>Mlk</t>
  </si>
  <si>
    <t>Diploma 1kg</t>
  </si>
  <si>
    <t>Diploma 500gm CP</t>
  </si>
  <si>
    <t>Diploma 200gm</t>
  </si>
  <si>
    <t>Diploma 100gm</t>
  </si>
  <si>
    <t>Diploma 50gm</t>
  </si>
  <si>
    <t>FarmLand 1kg</t>
  </si>
  <si>
    <t xml:space="preserve">FarmLand 500gm </t>
  </si>
  <si>
    <t>Happy Cow 1kg</t>
  </si>
  <si>
    <t>Happy Cow 500g</t>
  </si>
  <si>
    <t>Happy Cow 200g</t>
  </si>
  <si>
    <t>Happy Cow 10g</t>
  </si>
  <si>
    <t>Red Cow 500gm</t>
  </si>
  <si>
    <t>Ghee</t>
  </si>
  <si>
    <t>R/C Butter Oil 200 gm</t>
  </si>
  <si>
    <t>Ndls</t>
  </si>
  <si>
    <t>Doodles 33gm</t>
  </si>
  <si>
    <t>Doodles Instant 4 Pcs 140g</t>
  </si>
  <si>
    <t>Doodles 8Pes 62gm</t>
  </si>
  <si>
    <t>Doodles 12Pes</t>
  </si>
  <si>
    <t>Korean Ramen 4Pes</t>
  </si>
  <si>
    <t>Korean Ramen 8Pes</t>
  </si>
  <si>
    <t>TOM YUM SHRIMP 8pes</t>
  </si>
  <si>
    <t>Doodles stick Masala 150 gm</t>
  </si>
  <si>
    <t>Doodles stick Masala 300 gm</t>
  </si>
  <si>
    <t>Doodles Chow Mein 300 gm</t>
  </si>
  <si>
    <t>Ckrs</t>
  </si>
  <si>
    <t>Crackers Wafer &amp; Biscuits</t>
  </si>
  <si>
    <t>Detos Chicken Wings 30g</t>
  </si>
  <si>
    <t>Detos Sweet Chilli 30g</t>
  </si>
  <si>
    <t>Detos Nachos Cheese 30g</t>
  </si>
  <si>
    <t>Yokozona 25g</t>
  </si>
  <si>
    <t>Poppers Choco Ring 30g</t>
  </si>
  <si>
    <t>Poppers Coconut 25g</t>
  </si>
  <si>
    <t xml:space="preserve">Tornado 15g Krackers King </t>
  </si>
  <si>
    <t>Spicy Potato Chips</t>
  </si>
  <si>
    <t>wefr</t>
  </si>
  <si>
    <t>ToiMoy12gm (18P Jar *8)</t>
  </si>
  <si>
    <t>ToiMoi 13gm Chocolate *24*3</t>
  </si>
  <si>
    <t>ToiMoi 13gm Vanila *24*3</t>
  </si>
  <si>
    <t>ToiMoi 20gm All (6P Jar*20)</t>
  </si>
  <si>
    <t>Bisct</t>
  </si>
  <si>
    <t xml:space="preserve">Digestive(135gm) </t>
  </si>
  <si>
    <t xml:space="preserve">Digestive(214gm) </t>
  </si>
  <si>
    <t xml:space="preserve">Digestive(35gm) </t>
  </si>
  <si>
    <t xml:space="preserve">Energy Go(62gm) </t>
  </si>
  <si>
    <t xml:space="preserve">Energy Go(19gm) </t>
  </si>
  <si>
    <t xml:space="preserve">Cremo(320gm) </t>
  </si>
  <si>
    <t xml:space="preserve">Peanut bite (240gm) </t>
  </si>
  <si>
    <t xml:space="preserve">Saltish(73gm) </t>
  </si>
  <si>
    <t xml:space="preserve">Saltish(240gm) </t>
  </si>
  <si>
    <t xml:space="preserve">Choco Little(240gm) </t>
  </si>
  <si>
    <t xml:space="preserve">Chocoanoir(240gm) </t>
  </si>
  <si>
    <t xml:space="preserve">Chocolate Fondue(176gm) </t>
  </si>
  <si>
    <t xml:space="preserve">Chocolate Fondue(80gm) </t>
  </si>
  <si>
    <t>Rivoli Vanila Choco Chips Cookies 150gm</t>
  </si>
  <si>
    <t xml:space="preserve">Dry Cake(130gm) </t>
  </si>
  <si>
    <t xml:space="preserve">Dry Cake(290gm) </t>
  </si>
  <si>
    <t xml:space="preserve">Toast (250gm) </t>
  </si>
  <si>
    <t>Msala</t>
  </si>
  <si>
    <t>Spices &amp; Staples</t>
  </si>
  <si>
    <t xml:space="preserve">Chili (মরিচ গুঁড়া) </t>
  </si>
  <si>
    <t>100gm</t>
  </si>
  <si>
    <t>200gm</t>
  </si>
  <si>
    <t xml:space="preserve">Turmeric (হলুদ গুড়া) </t>
  </si>
  <si>
    <t>Biriyani Masala 40g</t>
  </si>
  <si>
    <t>Rice</t>
  </si>
  <si>
    <t xml:space="preserve"> Chinigura Rice (1 Kg)</t>
  </si>
  <si>
    <t>Atta</t>
  </si>
  <si>
    <t>Farmland Atta 1 kg</t>
  </si>
  <si>
    <t>Farmland Atta 2 kg</t>
  </si>
  <si>
    <t>Brown Atta 1kg</t>
  </si>
  <si>
    <t>Suji</t>
  </si>
  <si>
    <t>Farmland Suji 500gm</t>
  </si>
  <si>
    <t>OIL</t>
  </si>
  <si>
    <t xml:space="preserve"> Mustard Oil 200 ml</t>
  </si>
  <si>
    <t xml:space="preserve"> Mustard Oil 500 ml</t>
  </si>
  <si>
    <t xml:space="preserve"> Mustard Oil 1000 ml</t>
  </si>
  <si>
    <t xml:space="preserve"> Sunflower Oil 5 L</t>
  </si>
  <si>
    <t>Sunflower Oil 5 L</t>
  </si>
  <si>
    <t>TOTAL SALE :</t>
  </si>
  <si>
    <t>Damage :</t>
  </si>
  <si>
    <t>Currency count</t>
  </si>
  <si>
    <t>Grand Total Sale:</t>
  </si>
  <si>
    <t>ক্যাশ টাকা</t>
  </si>
  <si>
    <t>খরচ</t>
  </si>
  <si>
    <t xml:space="preserve">বাকী </t>
  </si>
  <si>
    <t>টাকা ঘাটতি</t>
  </si>
  <si>
    <t>TOTAL</t>
  </si>
  <si>
    <t xml:space="preserve"> Stick None Masala150 gm</t>
  </si>
  <si>
    <t>পণ্যের নাম</t>
  </si>
  <si>
    <t>বিক্রয় মূল্য,ctn/case</t>
  </si>
  <si>
    <t>ইউনিট মূল্য/ Priece</t>
  </si>
  <si>
    <t>অর্ডার</t>
  </si>
  <si>
    <t>ফেরত</t>
  </si>
  <si>
    <t xml:space="preserve">বিক্রয় </t>
  </si>
  <si>
    <t>দর</t>
  </si>
  <si>
    <t>টাকার পরিমান</t>
  </si>
  <si>
    <t>ড্যামেজ - পিস</t>
  </si>
  <si>
    <t>টাকা</t>
  </si>
  <si>
    <t>single</t>
  </si>
  <si>
    <t>pieces</t>
  </si>
  <si>
    <t>Unit price</t>
  </si>
  <si>
    <t>ZAFRAN GROUP</t>
  </si>
  <si>
    <t>x1</t>
  </si>
  <si>
    <t>pcs</t>
  </si>
  <si>
    <t>ctn</t>
  </si>
  <si>
    <t>box</t>
  </si>
  <si>
    <t>Box</t>
  </si>
  <si>
    <t>Pk</t>
  </si>
  <si>
    <t>pkt</t>
  </si>
  <si>
    <t xml:space="preserve">  ডেইরি মিল্ক চকলেট ২৪ গ্রাম</t>
  </si>
  <si>
    <t>12 pkt</t>
  </si>
  <si>
    <t>12.55 pcs</t>
  </si>
  <si>
    <t xml:space="preserve"> একটিভ এনার্জি মিনি ৬০ গ্রাম ST</t>
  </si>
  <si>
    <t xml:space="preserve"> ctn</t>
  </si>
  <si>
    <t xml:space="preserve"> ক্রিম ক্লাব চকোপ্লাস Standard</t>
  </si>
  <si>
    <t>JR</t>
  </si>
  <si>
    <t xml:space="preserve"> জাফরান চানাচুর 12 গ্রাম</t>
  </si>
  <si>
    <t>C</t>
  </si>
  <si>
    <t>paus</t>
  </si>
  <si>
    <t>Jar</t>
  </si>
  <si>
    <t>Zafran Sale:</t>
  </si>
  <si>
    <t>BD FOOD FOOD</t>
  </si>
  <si>
    <t>Date:</t>
  </si>
  <si>
    <t>CL</t>
  </si>
  <si>
    <t>20 pcs</t>
  </si>
  <si>
    <t>13 pcs</t>
  </si>
  <si>
    <t>5 single</t>
  </si>
  <si>
    <t>dozen</t>
  </si>
  <si>
    <t>BD FOOD SALE</t>
  </si>
  <si>
    <t>BD Damage</t>
  </si>
  <si>
    <t>Total Damage: Taka</t>
  </si>
  <si>
    <t xml:space="preserve"> বাকী</t>
  </si>
  <si>
    <t>Dealar price</t>
  </si>
  <si>
    <t xml:space="preserve"> আইস ললি Jar ৪০মিলি (40*6)</t>
  </si>
  <si>
    <t xml:space="preserve"> জাফরান ঝাল চানাচুর 12 গ্রাম</t>
  </si>
  <si>
    <t>Damage Value</t>
  </si>
  <si>
    <t>Return Value</t>
  </si>
  <si>
    <t>Commission</t>
  </si>
  <si>
    <t>Order Value</t>
  </si>
  <si>
    <t>Sale value</t>
  </si>
  <si>
    <t>order</t>
  </si>
  <si>
    <t>Return</t>
  </si>
  <si>
    <t>Sale</t>
  </si>
  <si>
    <t>Order</t>
  </si>
  <si>
    <t>NET SALE :</t>
  </si>
  <si>
    <t>9 single</t>
  </si>
  <si>
    <t>আলু ভাজি 12gm</t>
  </si>
  <si>
    <t>আলু ভাজি 20gm</t>
  </si>
  <si>
    <t xml:space="preserve">        </t>
  </si>
  <si>
    <t xml:space="preserve">মোট সেলস </t>
  </si>
  <si>
    <t>স্যানভালি</t>
  </si>
  <si>
    <t xml:space="preserve">ক্যাশ টাকা </t>
  </si>
  <si>
    <t xml:space="preserve">জাফরান </t>
  </si>
  <si>
    <t xml:space="preserve">খরচ </t>
  </si>
  <si>
    <t>প্রান</t>
  </si>
  <si>
    <t>বাকি</t>
  </si>
  <si>
    <t>জাফরান.২</t>
  </si>
  <si>
    <t>শট</t>
  </si>
  <si>
    <t>order value</t>
  </si>
  <si>
    <t>IMS Value</t>
  </si>
  <si>
    <t>Nun excation</t>
  </si>
  <si>
    <t>Formula 1( for Dropped down list make datavalidation, list select  column enter</t>
  </si>
  <si>
    <t>cell 2</t>
  </si>
  <si>
    <t>Equal Vlookup , select dropped down cell, sheet 2,select all data,column no,falls) enter</t>
  </si>
  <si>
    <t>cell 3</t>
  </si>
  <si>
    <t>if error</t>
  </si>
  <si>
    <t>starting iferror and last , "") enter</t>
  </si>
  <si>
    <t>Same way all  cell</t>
  </si>
  <si>
    <t>NEW NUMBER</t>
  </si>
  <si>
    <t>for clear</t>
  </si>
  <si>
    <t>range("B5:B26").CLEARCONTENTS</t>
  </si>
  <si>
    <t>Range("C5:C26").Clearcontents</t>
  </si>
  <si>
    <t>Range("G5"G26").Clearcontents</t>
  </si>
  <si>
    <t>Print File</t>
  </si>
  <si>
    <t>Go to Visual basic Insetr Module , Sub space Print file ()</t>
  </si>
  <si>
    <t>sheet2.Printpreview</t>
  </si>
  <si>
    <t>sheet2.Printout</t>
  </si>
  <si>
    <t>Save File</t>
  </si>
  <si>
    <t>go to Visual basic Insetr Module , Sub space savefile ()</t>
  </si>
  <si>
    <t>sheet2.range("B1:H32").ExportAsFixedformat space XltypePDF,( go to file open click to Adresssbar )</t>
  </si>
  <si>
    <t xml:space="preserve"> copy this and come back visual paste there</t>
  </si>
  <si>
    <t>Protect sheets</t>
  </si>
  <si>
    <t>Select all area, right click, Format cells , Protection unmark then OK</t>
  </si>
  <si>
    <t>Go to Home tab Edeting , Find &amp; select , Go to special  tick mark in formula ok</t>
  </si>
  <si>
    <t xml:space="preserve">Right click all formula cell, format cell tick mark on Protection, </t>
  </si>
  <si>
    <t>Go to REVIEW, TAB Procet sheet , password,ok again password, finish</t>
  </si>
  <si>
    <t>500gm</t>
  </si>
  <si>
    <t>Sub invoiceautogenerate()</t>
  </si>
  <si>
    <t>Range("N2").Value = Range("N2").Value + 1</t>
  </si>
  <si>
    <t xml:space="preserve">For NEW FILE, Go to Visual Basic, Insert , Module , </t>
  </si>
  <si>
    <t>Sub saveinvoice()</t>
  </si>
  <si>
    <t>Sheet3.Range("A1:Q119").ExportAsFixedFormat xlTypePDF, Filename:="F:\Dealership Account file\DAILY SALES CALCULATION ALL GROUP\BD SAVE PDF\" &amp; Sheet3.Range("o2").Value, openafterpublish:=False</t>
  </si>
  <si>
    <t>End Sub</t>
  </si>
  <si>
    <t xml:space="preserve">Go to Visual Basic, Insert , Module , </t>
  </si>
  <si>
    <t>(vasual basic module 12 saveinvoice )</t>
  </si>
  <si>
    <t>(vasual basic module 11 saveinvoice )</t>
  </si>
  <si>
    <t>for BD ZAFRAN</t>
  </si>
  <si>
    <t>for Newzealand Dairy</t>
  </si>
  <si>
    <t>New zealand Dairy Products</t>
  </si>
  <si>
    <t xml:space="preserve">Bd food chips </t>
  </si>
  <si>
    <t>6 jar</t>
  </si>
  <si>
    <t>Damage</t>
  </si>
  <si>
    <t>DAMAGE :</t>
  </si>
  <si>
    <t>ফ্যামিলি টাইম চকলেট কুকিজ ২৬০গ্রাম</t>
  </si>
  <si>
    <t xml:space="preserve">NET SALE: Zafran </t>
  </si>
  <si>
    <t>NET SALE: BD Food</t>
  </si>
  <si>
    <t>অন্যান্য</t>
  </si>
  <si>
    <t xml:space="preserve"> NET SLE BD </t>
  </si>
  <si>
    <t>after subtruction Damage :</t>
  </si>
  <si>
    <t>GOLD MARK</t>
  </si>
  <si>
    <t xml:space="preserve">Digestive Chocolet(135gm) </t>
  </si>
  <si>
    <t>24 box</t>
  </si>
  <si>
    <t>30 pcs</t>
  </si>
  <si>
    <t xml:space="preserve">Muffy Mofin cake </t>
  </si>
  <si>
    <t xml:space="preserve">Cake </t>
  </si>
  <si>
    <t xml:space="preserve">Kiddofer Milky </t>
  </si>
  <si>
    <t>Confec</t>
  </si>
  <si>
    <t>Biscuit</t>
  </si>
  <si>
    <t>Yo Yo Mini 72</t>
  </si>
  <si>
    <t>Chocolatee  48</t>
  </si>
  <si>
    <t>Chocolay 72</t>
  </si>
  <si>
    <t>LEXUS 48</t>
  </si>
  <si>
    <t>JAM Cookies Mini</t>
  </si>
  <si>
    <t>Energy Gold stand 24</t>
  </si>
  <si>
    <t>Energy Gold Family</t>
  </si>
  <si>
    <t>POPS Cream Lemon&amp; Ziger</t>
  </si>
  <si>
    <t>Cookis</t>
  </si>
  <si>
    <t>Sweet toast Family</t>
  </si>
  <si>
    <t>Pow.drink</t>
  </si>
  <si>
    <t>Kiddofer Cheese</t>
  </si>
  <si>
    <t>Fruit Phineapple Mini</t>
  </si>
  <si>
    <t>Tuffy Milk cake 72</t>
  </si>
  <si>
    <t>Ghee Cookis Mini</t>
  </si>
  <si>
    <t>Special toast</t>
  </si>
  <si>
    <t>Butter Cookis</t>
  </si>
  <si>
    <t>Milk Cookis</t>
  </si>
  <si>
    <t>POP Satandard24</t>
  </si>
  <si>
    <t>Tasty Fruit slice cake MF</t>
  </si>
  <si>
    <t>dealer Price</t>
  </si>
  <si>
    <t>GOLD MARK SALE :</t>
  </si>
  <si>
    <t>Dry Cake 48</t>
  </si>
  <si>
    <t>DAL Vaja TK.5 ( 4 single )</t>
  </si>
  <si>
    <t>Tok Tok Candy ( 6 jar )</t>
  </si>
  <si>
    <t>Choco shots Mini ( 4 single )</t>
  </si>
  <si>
    <t>Tuffy  Assorted Box</t>
  </si>
  <si>
    <t>jar</t>
  </si>
  <si>
    <t>Value</t>
  </si>
  <si>
    <t>Alpen Love Candy ( 6 jar )</t>
  </si>
  <si>
    <t>bag</t>
  </si>
  <si>
    <t>Toastee Sugar Toast</t>
  </si>
  <si>
    <t>Twinkis Candy ( 6 Jar )</t>
  </si>
  <si>
    <t>6% add sale price</t>
  </si>
  <si>
    <t>Jr</t>
  </si>
  <si>
    <t>wefar</t>
  </si>
  <si>
    <t>Mastard oil  70ml</t>
  </si>
  <si>
    <t>single =24</t>
  </si>
  <si>
    <t>Doodles 16Pes</t>
  </si>
  <si>
    <t>Phineapple Stsndard</t>
  </si>
  <si>
    <t>Tokjhal kaccha Aam Candy 6 Jr</t>
  </si>
  <si>
    <t xml:space="preserve">Return Value </t>
  </si>
  <si>
    <t>Sale Value</t>
  </si>
  <si>
    <t>Discount value</t>
  </si>
  <si>
    <t>Net sale :</t>
  </si>
  <si>
    <t>BD FOOD</t>
  </si>
  <si>
    <t>NEWZEALAND DAIRY</t>
  </si>
  <si>
    <t>Discount</t>
  </si>
  <si>
    <t>Credit</t>
  </si>
  <si>
    <t>Expsnes</t>
  </si>
  <si>
    <t>Cash</t>
  </si>
  <si>
    <t>SR BASHIR</t>
  </si>
  <si>
    <t>SR IMRAN</t>
  </si>
  <si>
    <t>Discont Value</t>
  </si>
  <si>
    <t>Net Sale</t>
  </si>
  <si>
    <t xml:space="preserve"> NEW ZEALAND DAIRY  PRODUCT, DAILY SALE </t>
  </si>
  <si>
    <t xml:space="preserve"> BASIR'S SALES</t>
  </si>
  <si>
    <t xml:space="preserve"> IMRAN'S SALES  </t>
  </si>
  <si>
    <t>Macro 3</t>
  </si>
  <si>
    <t>Macro 1</t>
  </si>
  <si>
    <t>Module 12</t>
  </si>
  <si>
    <t>Module 11</t>
  </si>
  <si>
    <t>Farm Land 2kg</t>
  </si>
  <si>
    <t>Dry cake biscuit 25g * 72</t>
  </si>
  <si>
    <t>PCS</t>
  </si>
  <si>
    <t>Testyy Vanilla slice standard</t>
  </si>
  <si>
    <t>1 bag = 4 single</t>
  </si>
  <si>
    <t>1 bag = 20 single</t>
  </si>
  <si>
    <t>1 bag = 6 single</t>
  </si>
  <si>
    <t>single =48</t>
  </si>
  <si>
    <t>Snek</t>
  </si>
  <si>
    <t>Masala</t>
  </si>
  <si>
    <t>ToiMoy10gm (18P Jar *8)</t>
  </si>
  <si>
    <t>ToiMoi 20gm All (20P Jar*6)</t>
  </si>
  <si>
    <t>Digestive Mini</t>
  </si>
  <si>
    <t>Gld mark Damge</t>
  </si>
  <si>
    <t>Jar =120 pcs</t>
  </si>
  <si>
    <t>Jar =180 pcs</t>
  </si>
  <si>
    <t>NET SALE GOLD MARK</t>
  </si>
  <si>
    <t>Dairy Product Sale</t>
  </si>
  <si>
    <t>Non Dairy Product Sale</t>
  </si>
  <si>
    <t>Damage cost</t>
  </si>
  <si>
    <t xml:space="preserve">Net sale </t>
  </si>
  <si>
    <t xml:space="preserve"> 6 to 9  Crackers ( 12 P *6 )</t>
  </si>
  <si>
    <t>Product</t>
  </si>
  <si>
    <t>Qty</t>
  </si>
  <si>
    <t>Unit Price</t>
  </si>
  <si>
    <t>Total price</t>
  </si>
  <si>
    <t>300 Masala</t>
  </si>
  <si>
    <t>150 Regular</t>
  </si>
  <si>
    <t>150 Masala</t>
  </si>
  <si>
    <t>Happy Cow 500</t>
  </si>
  <si>
    <t>Diploma 500</t>
  </si>
  <si>
    <t>Diploma 1 kg</t>
  </si>
  <si>
    <t>Happy Cow 1 kg</t>
  </si>
  <si>
    <t>Total:</t>
  </si>
  <si>
    <t>Discount Product Value</t>
  </si>
  <si>
    <t>Mastard oil  200ml</t>
  </si>
  <si>
    <t>RIKO</t>
  </si>
  <si>
    <t>PK</t>
  </si>
  <si>
    <t>Vanilla Pie Cake</t>
  </si>
  <si>
    <t>Fried Peas ( 4 single )</t>
  </si>
  <si>
    <t>Malt Crunch Cookis Family</t>
  </si>
  <si>
    <t>Turmeric Powder 100 ( 4 single )</t>
  </si>
  <si>
    <t>MARKET</t>
  </si>
  <si>
    <t>BAIARA</t>
  </si>
  <si>
    <t>Free product</t>
  </si>
  <si>
    <t>Dhalua Bazar</t>
  </si>
  <si>
    <t>Orange Crim Family</t>
  </si>
  <si>
    <t>Vermecelli 12 pkt</t>
  </si>
  <si>
    <t>CORN Caramel 16 mg</t>
  </si>
  <si>
    <t>50 pcs</t>
  </si>
  <si>
    <t>Macro 6</t>
  </si>
  <si>
    <t>Lascha Semai 25 pkt</t>
  </si>
  <si>
    <t>EZZE Mango 5 Tk ( 20 single)</t>
  </si>
  <si>
    <t>EZZE Orange 5 Tk ( 20 single)</t>
  </si>
  <si>
    <t>EZZE Orange PB 200gm</t>
  </si>
  <si>
    <t>SALTY Delight 180gm</t>
  </si>
  <si>
    <t>Tasty  Saline 6gm 5T (10 single)</t>
  </si>
  <si>
    <t>EZZE Mango PB 200gm</t>
  </si>
  <si>
    <t>Ppcs</t>
  </si>
  <si>
    <t>MALAI</t>
  </si>
  <si>
    <t>Macro 7</t>
  </si>
  <si>
    <t xml:space="preserve">Diploma 500gm </t>
  </si>
  <si>
    <t>Mango Tang Jar 500 gm</t>
  </si>
  <si>
    <t>Ringo Cheese Ball</t>
  </si>
  <si>
    <t>EZZE Isubgul PB 200gm</t>
  </si>
  <si>
    <t>Dealer price</t>
  </si>
  <si>
    <t>5% Add</t>
  </si>
  <si>
    <t xml:space="preserve"> </t>
  </si>
  <si>
    <t>Potato crekars 15gm</t>
  </si>
  <si>
    <t>BD Chanachur 200 gm</t>
  </si>
  <si>
    <t>BD Jhal Chanachur 22 gm</t>
  </si>
  <si>
    <t>BD Jhal Chanachur 150 gm</t>
  </si>
  <si>
    <t>BD Jhal Chanachur 300 gm</t>
  </si>
  <si>
    <t>BD BBQ Chanachur 150 gm</t>
  </si>
  <si>
    <t>BD BBQ Chanachur 300 gm</t>
  </si>
  <si>
    <t>BD Lacha Semai 200 gm</t>
  </si>
  <si>
    <t>BD Tamarind Chutney</t>
  </si>
  <si>
    <t>BD Olive Chutney</t>
  </si>
  <si>
    <t>BD Hot Tomato Cahauch</t>
  </si>
  <si>
    <t>BD Toast Biscuit 285 gm</t>
  </si>
  <si>
    <t>BD Double Toast Buistuit</t>
  </si>
  <si>
    <t xml:space="preserve"> Isubgul Mango 10TK( 6 single )</t>
  </si>
  <si>
    <t xml:space="preserve"> Isubgul orange10 TK( 6 single )</t>
  </si>
  <si>
    <t>Turmaric Powder 100 gm</t>
  </si>
  <si>
    <t>Chili Powder 100 gm</t>
  </si>
  <si>
    <t>Mangobar 14 gm 24 box*30 bar</t>
  </si>
  <si>
    <t>GOLDMARH</t>
  </si>
  <si>
    <t>Chicken Curry Masala 100gm</t>
  </si>
  <si>
    <t>LACTOZ Lolipop ,4 single,48pcs</t>
  </si>
  <si>
    <t>Chicken Masala (6 single ) 24pcs</t>
  </si>
  <si>
    <t>Beef Masala ( 6 single ) 24pcs</t>
  </si>
  <si>
    <t>LYTE Energy 12 gm 6 single, 24pc</t>
  </si>
  <si>
    <t>Turmaric 100gm</t>
  </si>
  <si>
    <t>Turmaric 200gm</t>
  </si>
  <si>
    <t>Turmaric 500gm</t>
  </si>
  <si>
    <t>Chili 100gm</t>
  </si>
  <si>
    <t>Chili 200gm</t>
  </si>
  <si>
    <t>Chili 500gm</t>
  </si>
  <si>
    <t>Free P. Value</t>
  </si>
  <si>
    <t>Discount &amp; free Value</t>
  </si>
  <si>
    <t>TOP C</t>
  </si>
  <si>
    <t>Revoli Butter Cookis 150g</t>
  </si>
  <si>
    <t>Butter Toast</t>
  </si>
  <si>
    <t>Twinkis Lolipop,4 single ) 48pcs</t>
  </si>
  <si>
    <t>Revoli Vanila Chocochips 150g</t>
  </si>
  <si>
    <t>Revoli White Chocolate  145g</t>
  </si>
  <si>
    <t>Revoli Coconut Crunch 145g</t>
  </si>
  <si>
    <t>Butter toast</t>
  </si>
  <si>
    <t>ROAD</t>
  </si>
  <si>
    <t>40 dozen</t>
  </si>
  <si>
    <t>x2</t>
  </si>
  <si>
    <t>Chocolate Digestive standerd</t>
  </si>
  <si>
    <t>Others</t>
  </si>
  <si>
    <t>Happy cow 200/500 ndls</t>
  </si>
  <si>
    <t>BD CHEEPS &amp; lexus</t>
  </si>
  <si>
    <t>DOLKHA</t>
  </si>
  <si>
    <t xml:space="preserve">Sale price </t>
  </si>
  <si>
    <t>Unit /SALE</t>
  </si>
  <si>
    <t>Unit /BUY</t>
  </si>
  <si>
    <t xml:space="preserve"> আইস ললি ম্যাংগো ৪০মিলি pau(24*12 )</t>
  </si>
  <si>
    <t xml:space="preserve">Cremo(80gm) </t>
  </si>
  <si>
    <t xml:space="preserve">  </t>
  </si>
  <si>
    <t>BAG</t>
  </si>
  <si>
    <t>Butter Butler Family</t>
  </si>
  <si>
    <t>After subtruction Damage :</t>
  </si>
  <si>
    <t xml:space="preserve">Order </t>
  </si>
  <si>
    <t>price</t>
  </si>
  <si>
    <t>CRUSH LEMON gm</t>
  </si>
  <si>
    <t>RUMN</t>
  </si>
  <si>
    <t xml:space="preserve">                                                                             </t>
  </si>
  <si>
    <t>Red Cow 200gm</t>
  </si>
  <si>
    <t>Red Cow 18gm</t>
  </si>
  <si>
    <t>bkash</t>
  </si>
  <si>
    <t>September 23,2026</t>
  </si>
  <si>
    <t>NANGALKOT</t>
  </si>
  <si>
    <t>Maruf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</si>
</sst>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* #,##0_);_(* \(#,##0\);_(* &quot;-&quot;??_);_(@_)"/>
    <numFmt numFmtId="165" formatCode="[$-409]dd\-mmm\-yy;@"/>
    <numFmt numFmtId="166" formatCode="0.0"/>
    <numFmt numFmtId="167" formatCode="[$-5000445]0"/>
    <numFmt numFmtId="168" formatCode="[$-F800]dddd\,\ mmmm\ dd\,\ yyyy"/>
    <numFmt numFmtId="169" formatCode="#,##0.0"/>
    <numFmt numFmtId="170" formatCode="[$-409]mmmm\ d\,\ yyyy;@"/>
    <numFmt numFmtId="171" formatCode="_(* #,##0.0_);_(* \(#,##0.0\);_(* &quot;-&quot;??_);_(@_)"/>
  </numFmts>
  <fonts count="9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</font>
    <font>
      <sz val="11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8"/>
      <color theme="1"/>
      <name val="Calibri"/>
      <family val="2"/>
    </font>
    <font>
      <sz val="8"/>
      <name val="Kalpurush"/>
    </font>
    <font>
      <sz val="8"/>
      <color theme="1"/>
      <name val="Calibri"/>
      <family val="2"/>
    </font>
    <font>
      <sz val="8"/>
      <color theme="1"/>
      <name val="Kalpurush"/>
    </font>
    <font>
      <b/>
      <sz val="8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9"/>
      <color theme="1"/>
      <name val="Kalpurush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theme="1"/>
      <name val="Arial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sz val="10"/>
      <name val="Kalpurush"/>
    </font>
    <font>
      <sz val="12"/>
      <name val="Kalpurush"/>
    </font>
    <font>
      <sz val="12"/>
      <name val="Arial"/>
      <family val="2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Arial"/>
      <family val="2"/>
    </font>
    <font>
      <sz val="9"/>
      <name val="Kalpurush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Kalpurush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sz val="12"/>
      <name val="Calibri"/>
      <family val="2"/>
      <scheme val="minor"/>
    </font>
    <font>
      <sz val="12"/>
      <name val="Calibri"/>
      <family val="2"/>
    </font>
    <font>
      <b/>
      <sz val="10"/>
      <name val="Kalpurush"/>
    </font>
    <font>
      <sz val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Kalpurush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Kalpurush"/>
    </font>
    <font>
      <sz val="16"/>
      <name val="Kalpurush"/>
    </font>
    <font>
      <sz val="11"/>
      <color rgb="FFFF0000"/>
      <name val="Arial"/>
      <family val="2"/>
    </font>
    <font>
      <sz val="11"/>
      <name val="Calibri"/>
      <family val="2"/>
    </font>
    <font>
      <sz val="12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2"/>
      <color theme="0" tint="-0.499984740745262"/>
      <name val="Calibri"/>
      <family val="2"/>
    </font>
    <font>
      <sz val="10"/>
      <color theme="0" tint="-0.499984740745262"/>
      <name val="Calibri"/>
      <family val="2"/>
    </font>
    <font>
      <sz val="12"/>
      <color theme="0" tint="-0.499984740745262"/>
      <name val="Kalpurush"/>
    </font>
    <font>
      <sz val="12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2"/>
      <color theme="1" tint="0.499984740745262"/>
      <name val="Kalpurush"/>
    </font>
    <font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theme="2" tint="-0.749992370372631"/>
      <name val="Calibri"/>
      <family val="2"/>
      <scheme val="minor"/>
    </font>
    <font>
      <sz val="18"/>
      <name val="Arial"/>
      <family val="2"/>
    </font>
    <font>
      <b/>
      <sz val="14"/>
      <name val="Kalpurush"/>
    </font>
    <font>
      <sz val="18"/>
      <name val="Kalpurush"/>
    </font>
    <font>
      <b/>
      <sz val="16"/>
      <name val="Kalpurush"/>
    </font>
    <font>
      <sz val="12"/>
      <name val="Arial Narrow"/>
      <family val="2"/>
    </font>
    <font>
      <sz val="11"/>
      <name val="Arial Narrow"/>
      <family val="2"/>
    </font>
    <font>
      <b/>
      <sz val="11"/>
      <name val="Arial"/>
      <family val="2"/>
    </font>
    <font>
      <b/>
      <sz val="16"/>
      <name val="Arial"/>
      <family val="2"/>
    </font>
    <font>
      <sz val="12"/>
      <color theme="1"/>
      <name val="Kalpurush"/>
    </font>
    <font>
      <sz val="10"/>
      <color theme="1"/>
      <name val="Kalpurush"/>
    </font>
    <font>
      <b/>
      <sz val="14"/>
      <color theme="1"/>
      <name val="Kalpurush"/>
    </font>
    <font>
      <sz val="11"/>
      <color theme="1"/>
      <name val="Kalpurush"/>
    </font>
    <font>
      <sz val="14"/>
      <color theme="1"/>
      <name val="Kalpurush"/>
    </font>
    <font>
      <sz val="12"/>
      <color theme="1"/>
      <name val="Arial"/>
      <family val="2"/>
    </font>
    <font>
      <sz val="11"/>
      <color theme="1"/>
      <name val="Arial Narrow"/>
      <family val="2"/>
    </font>
    <font>
      <sz val="16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8"/>
      <name val="Arial"/>
      <family val="2"/>
    </font>
    <font>
      <sz val="10"/>
      <name val="Calibri"/>
      <family val="2"/>
    </font>
    <font>
      <sz val="14"/>
      <name val="Calibri"/>
      <family val="2"/>
      <scheme val="minor"/>
    </font>
    <font>
      <sz val="16"/>
      <name val="Calibri"/>
      <family val="2"/>
      <scheme val="minor"/>
    </font>
    <font>
      <sz val="14"/>
      <name val="Arial Narrow"/>
      <family val="2"/>
    </font>
    <font>
      <b/>
      <sz val="12"/>
      <color theme="1"/>
      <name val="Kalpurush"/>
    </font>
    <font>
      <b/>
      <sz val="16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1"/>
      <name val="Arial Narrow"/>
      <family val="2"/>
    </font>
    <font>
      <sz val="14"/>
      <color theme="1"/>
      <name val="Arial Narrow"/>
      <family val="2"/>
    </font>
    <font>
      <sz val="18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Kalpurush"/>
    </font>
  </fonts>
  <fills count="4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A8D08D"/>
        <bgColor rgb="FFA8D08D"/>
      </patternFill>
    </fill>
    <fill>
      <patternFill patternType="solid">
        <fgColor rgb="FFFF3300"/>
        <bgColor rgb="FFFF3300"/>
      </patternFill>
    </fill>
    <fill>
      <patternFill patternType="solid">
        <fgColor rgb="FF9CC2E5"/>
        <bgColor rgb="FF9CC2E5"/>
      </patternFill>
    </fill>
    <fill>
      <patternFill patternType="solid">
        <fgColor rgb="FFC5E0B3"/>
        <bgColor rgb="FFC5E0B3"/>
      </patternFill>
    </fill>
    <fill>
      <patternFill patternType="solid">
        <fgColor theme="9" tint="0.59999389629810485"/>
        <bgColor rgb="FFFF5050"/>
      </patternFill>
    </fill>
    <fill>
      <patternFill patternType="solid">
        <fgColor rgb="FFBDD6EE"/>
        <bgColor rgb="FFBDD6EE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2EFD9"/>
        <bgColor rgb="FFE2EFD9"/>
      </patternFill>
    </fill>
    <fill>
      <patternFill patternType="solid">
        <fgColor theme="5" tint="0.59999389629810485"/>
        <bgColor rgb="FFE2EFD9"/>
      </patternFill>
    </fill>
    <fill>
      <patternFill patternType="solid">
        <fgColor theme="9" tint="0.59999389629810485"/>
        <bgColor rgb="FFFF7C80"/>
      </patternFill>
    </fill>
    <fill>
      <patternFill patternType="solid">
        <fgColor rgb="FFDEEAF6"/>
        <bgColor rgb="FFDEEAF6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rgb="FFC5E0B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rgb="FFBDD6E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DEEAF6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E2EFD9"/>
      </patternFill>
    </fill>
    <fill>
      <patternFill patternType="solid">
        <fgColor rgb="FFFFC000"/>
        <bgColor rgb="FFFF7C80"/>
      </patternFill>
    </fill>
    <fill>
      <patternFill patternType="solid">
        <fgColor rgb="FFFFC000"/>
        <bgColor rgb="FFDEEAF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5C9CE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505050"/>
      </right>
      <top style="medium">
        <color indexed="64"/>
      </top>
      <bottom/>
      <diagonal/>
    </border>
    <border>
      <left style="thin">
        <color rgb="FF505050"/>
      </left>
      <right style="thin">
        <color rgb="FF505050"/>
      </right>
      <top style="medium">
        <color indexed="64"/>
      </top>
      <bottom/>
      <diagonal/>
    </border>
    <border>
      <left style="thin">
        <color rgb="FF505050"/>
      </left>
      <right/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505050"/>
      </left>
      <right/>
      <top style="thin">
        <color rgb="FF505050"/>
      </top>
      <bottom style="thin">
        <color rgb="FF505050"/>
      </bottom>
      <diagonal/>
    </border>
    <border>
      <left/>
      <right/>
      <top style="thin">
        <color rgb="FF505050"/>
      </top>
      <bottom style="thin">
        <color rgb="FF505050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505050"/>
      </left>
      <right/>
      <top style="thin">
        <color rgb="FF505050"/>
      </top>
      <bottom/>
      <diagonal/>
    </border>
    <border>
      <left/>
      <right/>
      <top style="thin">
        <color rgb="FF505050"/>
      </top>
      <bottom/>
      <diagonal/>
    </border>
    <border>
      <left style="thin">
        <color rgb="FF505050"/>
      </left>
      <right style="thin">
        <color rgb="FF505050"/>
      </right>
      <top style="thin">
        <color rgb="FF505050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41" fillId="34" borderId="0" applyNumberFormat="0" applyBorder="0" applyAlignment="0" applyProtection="0"/>
    <xf numFmtId="0" fontId="42" fillId="35" borderId="20" applyNumberFormat="0" applyAlignment="0" applyProtection="0"/>
  </cellStyleXfs>
  <cellXfs count="980">
    <xf numFmtId="0" fontId="0" fillId="0" borderId="0" xfId="0"/>
    <xf numFmtId="0" fontId="5" fillId="2" borderId="4" xfId="0" applyFont="1" applyFill="1" applyBorder="1"/>
    <xf numFmtId="0" fontId="0" fillId="2" borderId="4" xfId="0" applyFill="1" applyBorder="1"/>
    <xf numFmtId="0" fontId="7" fillId="6" borderId="4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7" fillId="7" borderId="4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7" fillId="8" borderId="4" xfId="0" applyFont="1" applyFill="1" applyBorder="1" applyAlignment="1">
      <alignment horizontal="center"/>
    </xf>
    <xf numFmtId="0" fontId="0" fillId="9" borderId="3" xfId="0" applyFill="1" applyBorder="1"/>
    <xf numFmtId="0" fontId="0" fillId="9" borderId="4" xfId="0" applyFill="1" applyBorder="1"/>
    <xf numFmtId="0" fontId="9" fillId="10" borderId="3" xfId="0" applyFont="1" applyFill="1" applyBorder="1"/>
    <xf numFmtId="14" fontId="9" fillId="10" borderId="4" xfId="0" applyNumberFormat="1" applyFont="1" applyFill="1" applyBorder="1"/>
    <xf numFmtId="0" fontId="10" fillId="10" borderId="4" xfId="0" applyFont="1" applyFill="1" applyBorder="1"/>
    <xf numFmtId="0" fontId="11" fillId="11" borderId="4" xfId="0" applyFont="1" applyFill="1" applyBorder="1"/>
    <xf numFmtId="0" fontId="12" fillId="12" borderId="4" xfId="0" applyFont="1" applyFill="1" applyBorder="1"/>
    <xf numFmtId="14" fontId="9" fillId="12" borderId="4" xfId="0" applyNumberFormat="1" applyFont="1" applyFill="1" applyBorder="1"/>
    <xf numFmtId="14" fontId="10" fillId="12" borderId="4" xfId="0" applyNumberFormat="1" applyFont="1" applyFill="1" applyBorder="1"/>
    <xf numFmtId="0" fontId="11" fillId="12" borderId="4" xfId="0" applyFont="1" applyFill="1" applyBorder="1"/>
    <xf numFmtId="0" fontId="12" fillId="13" borderId="4" xfId="0" applyFont="1" applyFill="1" applyBorder="1"/>
    <xf numFmtId="0" fontId="13" fillId="13" borderId="5" xfId="0" applyNumberFormat="1" applyFont="1" applyFill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14" fontId="12" fillId="10" borderId="4" xfId="0" applyNumberFormat="1" applyFont="1" applyFill="1" applyBorder="1"/>
    <xf numFmtId="0" fontId="13" fillId="11" borderId="4" xfId="0" applyFont="1" applyFill="1" applyBorder="1"/>
    <xf numFmtId="0" fontId="13" fillId="13" borderId="5" xfId="0" applyNumberFormat="1" applyFont="1" applyFill="1" applyBorder="1" applyAlignment="1">
      <alignment horizontal="center" vertical="center"/>
    </xf>
    <xf numFmtId="0" fontId="12" fillId="10" borderId="4" xfId="0" applyFont="1" applyFill="1" applyBorder="1"/>
    <xf numFmtId="0" fontId="12" fillId="11" borderId="4" xfId="0" applyFont="1" applyFill="1" applyBorder="1"/>
    <xf numFmtId="0" fontId="14" fillId="12" borderId="4" xfId="0" applyFont="1" applyFill="1" applyBorder="1"/>
    <xf numFmtId="0" fontId="15" fillId="12" borderId="4" xfId="0" applyFont="1" applyFill="1" applyBorder="1"/>
    <xf numFmtId="0" fontId="0" fillId="14" borderId="4" xfId="0" applyFill="1" applyBorder="1"/>
    <xf numFmtId="0" fontId="9" fillId="10" borderId="4" xfId="0" applyFont="1" applyFill="1" applyBorder="1"/>
    <xf numFmtId="0" fontId="0" fillId="0" borderId="4" xfId="0" applyBorder="1" applyAlignment="1">
      <alignment horizontal="center" vertical="center"/>
    </xf>
    <xf numFmtId="14" fontId="12" fillId="12" borderId="4" xfId="0" applyNumberFormat="1" applyFont="1" applyFill="1" applyBorder="1"/>
    <xf numFmtId="0" fontId="0" fillId="9" borderId="7" xfId="0" applyFill="1" applyBorder="1"/>
    <xf numFmtId="0" fontId="0" fillId="9" borderId="8" xfId="0" applyFill="1" applyBorder="1"/>
    <xf numFmtId="0" fontId="13" fillId="13" borderId="4" xfId="0" applyNumberFormat="1" applyFont="1" applyFill="1" applyBorder="1"/>
    <xf numFmtId="0" fontId="13" fillId="13" borderId="5" xfId="0" applyNumberFormat="1" applyFont="1" applyFill="1" applyBorder="1"/>
    <xf numFmtId="0" fontId="0" fillId="0" borderId="0" xfId="0" applyFont="1"/>
    <xf numFmtId="0" fontId="8" fillId="14" borderId="5" xfId="0" applyFont="1" applyFill="1" applyBorder="1" applyAlignment="1" applyProtection="1">
      <alignment horizontal="left" vertical="center" wrapText="1"/>
      <protection locked="0"/>
    </xf>
    <xf numFmtId="0" fontId="6" fillId="15" borderId="3" xfId="0" applyFont="1" applyFill="1" applyBorder="1" applyAlignment="1">
      <alignment horizontal="center"/>
    </xf>
    <xf numFmtId="0" fontId="6" fillId="15" borderId="4" xfId="0" applyFont="1" applyFill="1" applyBorder="1" applyAlignment="1">
      <alignment horizontal="center"/>
    </xf>
    <xf numFmtId="0" fontId="0" fillId="14" borderId="3" xfId="0" applyFill="1" applyBorder="1"/>
    <xf numFmtId="0" fontId="8" fillId="14" borderId="5" xfId="0" applyFont="1" applyFill="1" applyBorder="1" applyAlignment="1" applyProtection="1">
      <protection locked="0"/>
    </xf>
    <xf numFmtId="0" fontId="8" fillId="14" borderId="6" xfId="0" applyFont="1" applyFill="1" applyBorder="1" applyAlignment="1" applyProtection="1">
      <protection locked="0"/>
    </xf>
    <xf numFmtId="0" fontId="8" fillId="14" borderId="5" xfId="0" applyFont="1" applyFill="1" applyBorder="1" applyAlignment="1" applyProtection="1">
      <alignment horizontal="left" vertical="center"/>
      <protection locked="0"/>
    </xf>
    <xf numFmtId="0" fontId="0" fillId="16" borderId="3" xfId="0" applyFill="1" applyBorder="1"/>
    <xf numFmtId="0" fontId="0" fillId="16" borderId="4" xfId="0" applyFill="1" applyBorder="1"/>
    <xf numFmtId="0" fontId="6" fillId="17" borderId="4" xfId="0" applyFont="1" applyFill="1" applyBorder="1" applyAlignment="1">
      <alignment horizontal="center"/>
    </xf>
    <xf numFmtId="0" fontId="6" fillId="17" borderId="5" xfId="0" applyFont="1" applyFill="1" applyBorder="1" applyAlignment="1">
      <alignment horizontal="center"/>
    </xf>
    <xf numFmtId="0" fontId="8" fillId="18" borderId="5" xfId="0" applyFont="1" applyFill="1" applyBorder="1" applyAlignment="1" applyProtection="1">
      <protection locked="0"/>
    </xf>
    <xf numFmtId="0" fontId="13" fillId="19" borderId="5" xfId="0" applyNumberFormat="1" applyFont="1" applyFill="1" applyBorder="1" applyAlignment="1">
      <alignment horizontal="center"/>
    </xf>
    <xf numFmtId="0" fontId="8" fillId="18" borderId="6" xfId="0" applyFont="1" applyFill="1" applyBorder="1" applyAlignment="1" applyProtection="1">
      <protection locked="0"/>
    </xf>
    <xf numFmtId="0" fontId="13" fillId="19" borderId="5" xfId="0" applyNumberFormat="1" applyFont="1" applyFill="1" applyBorder="1" applyAlignment="1">
      <alignment horizontal="center" vertical="center"/>
    </xf>
    <xf numFmtId="0" fontId="8" fillId="18" borderId="5" xfId="0" applyFont="1" applyFill="1" applyBorder="1" applyAlignment="1" applyProtection="1">
      <alignment horizontal="left" vertical="center" wrapText="1"/>
      <protection locked="0"/>
    </xf>
    <xf numFmtId="0" fontId="8" fillId="18" borderId="5" xfId="0" applyFont="1" applyFill="1" applyBorder="1" applyAlignment="1" applyProtection="1">
      <alignment horizontal="left" vertical="center"/>
      <protection locked="0"/>
    </xf>
    <xf numFmtId="164" fontId="0" fillId="14" borderId="4" xfId="1" applyNumberFormat="1" applyFont="1" applyFill="1" applyBorder="1" applyAlignment="1">
      <alignment horizontal="center" vertical="center"/>
    </xf>
    <xf numFmtId="0" fontId="0" fillId="20" borderId="4" xfId="0" applyFill="1" applyBorder="1"/>
    <xf numFmtId="0" fontId="19" fillId="12" borderId="4" xfId="0" applyFont="1" applyFill="1" applyBorder="1"/>
    <xf numFmtId="0" fontId="20" fillId="12" borderId="4" xfId="0" applyFont="1" applyFill="1" applyBorder="1"/>
    <xf numFmtId="0" fontId="21" fillId="12" borderId="4" xfId="0" applyFont="1" applyFill="1" applyBorder="1"/>
    <xf numFmtId="0" fontId="22" fillId="14" borderId="5" xfId="0" applyFont="1" applyFill="1" applyBorder="1" applyAlignment="1" applyProtection="1">
      <protection locked="0"/>
    </xf>
    <xf numFmtId="0" fontId="22" fillId="18" borderId="5" xfId="0" applyFont="1" applyFill="1" applyBorder="1" applyAlignment="1" applyProtection="1">
      <protection locked="0"/>
    </xf>
    <xf numFmtId="0" fontId="16" fillId="10" borderId="4" xfId="0" applyFont="1" applyFill="1" applyBorder="1"/>
    <xf numFmtId="0" fontId="23" fillId="0" borderId="4" xfId="0" applyFont="1" applyBorder="1"/>
    <xf numFmtId="0" fontId="24" fillId="0" borderId="4" xfId="0" applyFont="1" applyBorder="1"/>
    <xf numFmtId="0" fontId="23" fillId="0" borderId="4" xfId="0" applyFont="1" applyBorder="1" applyAlignment="1">
      <alignment horizontal="left"/>
    </xf>
    <xf numFmtId="0" fontId="25" fillId="0" borderId="0" xfId="0" applyFont="1"/>
    <xf numFmtId="0" fontId="23" fillId="0" borderId="4" xfId="0" applyFont="1" applyBorder="1" applyAlignment="1">
      <alignment vertical="center"/>
    </xf>
    <xf numFmtId="0" fontId="24" fillId="0" borderId="4" xfId="0" applyFont="1" applyBorder="1" applyAlignment="1">
      <alignment vertical="center"/>
    </xf>
    <xf numFmtId="0" fontId="23" fillId="0" borderId="4" xfId="0" applyFont="1" applyBorder="1" applyAlignment="1">
      <alignment horizontal="left" vertical="center"/>
    </xf>
    <xf numFmtId="0" fontId="26" fillId="16" borderId="4" xfId="0" applyFont="1" applyFill="1" applyBorder="1"/>
    <xf numFmtId="0" fontId="26" fillId="14" borderId="4" xfId="0" applyFont="1" applyFill="1" applyBorder="1"/>
    <xf numFmtId="0" fontId="0" fillId="2" borderId="3" xfId="0" applyFill="1" applyBorder="1"/>
    <xf numFmtId="0" fontId="8" fillId="2" borderId="5" xfId="0" applyFont="1" applyFill="1" applyBorder="1" applyAlignment="1" applyProtection="1">
      <alignment horizontal="left" vertical="center" wrapText="1"/>
      <protection locked="0"/>
    </xf>
    <xf numFmtId="0" fontId="5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left" vertical="center"/>
    </xf>
    <xf numFmtId="0" fontId="9" fillId="21" borderId="3" xfId="0" applyFont="1" applyFill="1" applyBorder="1" applyAlignment="1">
      <alignment horizontal="left" vertical="center"/>
    </xf>
    <xf numFmtId="14" fontId="9" fillId="21" borderId="4" xfId="0" applyNumberFormat="1" applyFont="1" applyFill="1" applyBorder="1" applyAlignment="1">
      <alignment horizontal="left" vertical="center"/>
    </xf>
    <xf numFmtId="0" fontId="10" fillId="21" borderId="4" xfId="0" applyFont="1" applyFill="1" applyBorder="1" applyAlignment="1">
      <alignment horizontal="left" vertical="center"/>
    </xf>
    <xf numFmtId="0" fontId="12" fillId="21" borderId="4" xfId="0" applyFont="1" applyFill="1" applyBorder="1" applyAlignment="1">
      <alignment horizontal="left" vertical="center"/>
    </xf>
    <xf numFmtId="0" fontId="15" fillId="22" borderId="4" xfId="0" applyFont="1" applyFill="1" applyBorder="1" applyAlignment="1">
      <alignment horizontal="left" vertical="center"/>
    </xf>
    <xf numFmtId="14" fontId="9" fillId="22" borderId="4" xfId="0" applyNumberFormat="1" applyFont="1" applyFill="1" applyBorder="1" applyAlignment="1">
      <alignment horizontal="left" vertical="center"/>
    </xf>
    <xf numFmtId="14" fontId="10" fillId="22" borderId="4" xfId="0" applyNumberFormat="1" applyFont="1" applyFill="1" applyBorder="1" applyAlignment="1">
      <alignment horizontal="left" vertical="center"/>
    </xf>
    <xf numFmtId="0" fontId="12" fillId="23" borderId="4" xfId="0" applyFont="1" applyFill="1" applyBorder="1" applyAlignment="1">
      <alignment horizontal="left" vertical="center"/>
    </xf>
    <xf numFmtId="0" fontId="13" fillId="23" borderId="5" xfId="0" applyNumberFormat="1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left" vertical="center"/>
    </xf>
    <xf numFmtId="0" fontId="2" fillId="0" borderId="1" xfId="0" applyFont="1" applyBorder="1" applyAlignment="1"/>
    <xf numFmtId="0" fontId="2" fillId="0" borderId="2" xfId="0" applyFont="1" applyBorder="1" applyAlignment="1"/>
    <xf numFmtId="0" fontId="26" fillId="24" borderId="4" xfId="0" applyFont="1" applyFill="1" applyBorder="1"/>
    <xf numFmtId="0" fontId="19" fillId="22" borderId="4" xfId="0" applyFont="1" applyFill="1" applyBorder="1" applyAlignment="1">
      <alignment horizontal="center" vertical="center"/>
    </xf>
    <xf numFmtId="0" fontId="27" fillId="12" borderId="4" xfId="0" applyFont="1" applyFill="1" applyBorder="1"/>
    <xf numFmtId="0" fontId="28" fillId="25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24" fillId="14" borderId="4" xfId="0" applyFont="1" applyFill="1" applyBorder="1" applyAlignment="1" applyProtection="1">
      <alignment horizontal="center" vertical="center"/>
      <protection locked="0"/>
    </xf>
    <xf numFmtId="0" fontId="8" fillId="25" borderId="4" xfId="0" applyFont="1" applyFill="1" applyBorder="1" applyAlignment="1" applyProtection="1">
      <alignment horizontal="center" vertical="center"/>
    </xf>
    <xf numFmtId="0" fontId="22" fillId="0" borderId="4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22" fillId="0" borderId="4" xfId="0" applyFont="1" applyBorder="1" applyAlignment="1" applyProtection="1">
      <alignment horizontal="center" vertical="center"/>
      <protection locked="0"/>
    </xf>
    <xf numFmtId="0" fontId="22" fillId="0" borderId="4" xfId="0" applyFont="1" applyBorder="1" applyAlignment="1" applyProtection="1">
      <alignment horizontal="center" vertical="center"/>
    </xf>
    <xf numFmtId="0" fontId="28" fillId="0" borderId="4" xfId="0" applyFont="1" applyBorder="1" applyAlignment="1" applyProtection="1">
      <alignment horizontal="center" vertical="center"/>
    </xf>
    <xf numFmtId="0" fontId="0" fillId="0" borderId="4" xfId="0" applyBorder="1" applyProtection="1"/>
    <xf numFmtId="0" fontId="22" fillId="0" borderId="14" xfId="0" applyFont="1" applyBorder="1" applyAlignment="1" applyProtection="1">
      <alignment horizontal="left"/>
      <protection locked="0"/>
    </xf>
    <xf numFmtId="0" fontId="22" fillId="0" borderId="0" xfId="0" applyFont="1" applyBorder="1" applyAlignment="1" applyProtection="1">
      <alignment horizontal="center" vertical="center"/>
      <protection locked="0"/>
    </xf>
    <xf numFmtId="0" fontId="22" fillId="0" borderId="0" xfId="0" applyFont="1" applyBorder="1" applyAlignment="1" applyProtection="1">
      <alignment horizontal="left"/>
      <protection locked="0"/>
    </xf>
    <xf numFmtId="0" fontId="28" fillId="0" borderId="4" xfId="0" applyFont="1" applyBorder="1" applyAlignment="1" applyProtection="1">
      <alignment horizontal="center" vertical="center"/>
      <protection locked="0"/>
    </xf>
    <xf numFmtId="0" fontId="22" fillId="0" borderId="0" xfId="0" applyFont="1" applyBorder="1" applyProtection="1">
      <protection locked="0"/>
    </xf>
    <xf numFmtId="0" fontId="25" fillId="0" borderId="0" xfId="0" applyFont="1" applyAlignment="1" applyProtection="1">
      <alignment horizontal="left" vertical="top"/>
      <protection locked="0"/>
    </xf>
    <xf numFmtId="0" fontId="25" fillId="0" borderId="0" xfId="0" applyFont="1" applyProtection="1">
      <protection locked="0"/>
    </xf>
    <xf numFmtId="0" fontId="23" fillId="14" borderId="4" xfId="0" applyFont="1" applyFill="1" applyBorder="1" applyAlignment="1" applyProtection="1">
      <alignment horizontal="center" vertical="center" wrapText="1"/>
      <protection locked="0"/>
    </xf>
    <xf numFmtId="0" fontId="25" fillId="20" borderId="4" xfId="0" applyFont="1" applyFill="1" applyBorder="1" applyAlignment="1">
      <alignment horizontal="center" vertical="center"/>
    </xf>
    <xf numFmtId="0" fontId="23" fillId="0" borderId="4" xfId="0" applyFont="1" applyBorder="1" applyAlignment="1" applyProtection="1">
      <alignment horizontal="center" vertical="center"/>
    </xf>
    <xf numFmtId="0" fontId="23" fillId="0" borderId="4" xfId="0" applyFont="1" applyBorder="1" applyAlignment="1" applyProtection="1">
      <alignment horizontal="center" vertical="center"/>
      <protection locked="0"/>
    </xf>
    <xf numFmtId="0" fontId="36" fillId="20" borderId="4" xfId="0" applyFont="1" applyFill="1" applyBorder="1" applyAlignment="1">
      <alignment horizontal="center" vertical="center"/>
    </xf>
    <xf numFmtId="0" fontId="23" fillId="20" borderId="4" xfId="0" applyFont="1" applyFill="1" applyBorder="1" applyAlignment="1" applyProtection="1">
      <alignment horizontal="center" vertical="center"/>
      <protection locked="0"/>
    </xf>
    <xf numFmtId="0" fontId="23" fillId="20" borderId="4" xfId="0" applyFont="1" applyFill="1" applyBorder="1" applyAlignment="1" applyProtection="1">
      <alignment horizontal="left" vertical="center"/>
      <protection locked="0"/>
    </xf>
    <xf numFmtId="0" fontId="25" fillId="20" borderId="4" xfId="0" applyFont="1" applyFill="1" applyBorder="1" applyAlignment="1">
      <alignment horizontal="center"/>
    </xf>
    <xf numFmtId="0" fontId="25" fillId="20" borderId="4" xfId="0" applyFont="1" applyFill="1" applyBorder="1"/>
    <xf numFmtId="0" fontId="25" fillId="0" borderId="4" xfId="0" applyFont="1" applyBorder="1" applyProtection="1">
      <protection locked="0"/>
    </xf>
    <xf numFmtId="0" fontId="25" fillId="0" borderId="0" xfId="0" applyFont="1" applyBorder="1" applyProtection="1">
      <protection locked="0"/>
    </xf>
    <xf numFmtId="0" fontId="24" fillId="20" borderId="0" xfId="0" applyFont="1" applyFill="1" applyBorder="1" applyAlignment="1" applyProtection="1">
      <protection locked="0"/>
    </xf>
    <xf numFmtId="0" fontId="23" fillId="20" borderId="0" xfId="0" applyFont="1" applyFill="1" applyBorder="1" applyAlignment="1" applyProtection="1">
      <alignment horizontal="center" vertical="center"/>
    </xf>
    <xf numFmtId="0" fontId="23" fillId="0" borderId="0" xfId="0" applyFont="1" applyBorder="1" applyProtection="1">
      <protection locked="0"/>
    </xf>
    <xf numFmtId="0" fontId="23" fillId="20" borderId="0" xfId="0" applyFont="1" applyFill="1" applyBorder="1" applyAlignment="1" applyProtection="1">
      <alignment horizontal="center"/>
      <protection locked="0"/>
    </xf>
    <xf numFmtId="0" fontId="23" fillId="20" borderId="0" xfId="0" applyFont="1" applyFill="1" applyBorder="1" applyAlignment="1" applyProtection="1"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15" xfId="0" applyFont="1" applyBorder="1" applyAlignment="1" applyProtection="1">
      <alignment horizontal="right"/>
      <protection locked="0"/>
    </xf>
    <xf numFmtId="0" fontId="25" fillId="0" borderId="15" xfId="0" applyFont="1" applyBorder="1" applyProtection="1">
      <protection locked="0"/>
    </xf>
    <xf numFmtId="0" fontId="23" fillId="0" borderId="17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Protection="1">
      <protection locked="0"/>
    </xf>
    <xf numFmtId="0" fontId="23" fillId="0" borderId="4" xfId="0" applyFont="1" applyBorder="1" applyAlignment="1" applyProtection="1">
      <alignment horizontal="center"/>
      <protection locked="0"/>
    </xf>
    <xf numFmtId="0" fontId="23" fillId="0" borderId="4" xfId="0" applyFont="1" applyFill="1" applyBorder="1" applyAlignment="1" applyProtection="1">
      <alignment horizontal="center" vertical="center"/>
      <protection locked="0"/>
    </xf>
    <xf numFmtId="0" fontId="25" fillId="0" borderId="17" xfId="0" applyFont="1" applyBorder="1" applyProtection="1">
      <protection locked="0"/>
    </xf>
    <xf numFmtId="0" fontId="25" fillId="0" borderId="0" xfId="0" applyFont="1" applyAlignment="1" applyProtection="1">
      <alignment horizontal="center" vertical="top"/>
      <protection locked="0"/>
    </xf>
    <xf numFmtId="0" fontId="25" fillId="0" borderId="15" xfId="0" applyFont="1" applyBorder="1" applyAlignment="1" applyProtection="1">
      <alignment horizontal="center"/>
      <protection locked="0"/>
    </xf>
    <xf numFmtId="0" fontId="25" fillId="20" borderId="0" xfId="0" applyFont="1" applyFill="1" applyAlignment="1" applyProtection="1">
      <alignment horizontal="left" vertical="top"/>
      <protection locked="0"/>
    </xf>
    <xf numFmtId="0" fontId="25" fillId="20" borderId="15" xfId="0" applyFont="1" applyFill="1" applyBorder="1" applyAlignment="1" applyProtection="1">
      <alignment horizontal="center"/>
      <protection locked="0"/>
    </xf>
    <xf numFmtId="0" fontId="23" fillId="20" borderId="4" xfId="0" applyFont="1" applyFill="1" applyBorder="1" applyAlignment="1" applyProtection="1">
      <alignment horizontal="center"/>
      <protection locked="0"/>
    </xf>
    <xf numFmtId="164" fontId="25" fillId="0" borderId="0" xfId="0" applyNumberFormat="1" applyFont="1" applyBorder="1" applyProtection="1">
      <protection locked="0"/>
    </xf>
    <xf numFmtId="0" fontId="32" fillId="0" borderId="4" xfId="0" applyFont="1" applyBorder="1" applyAlignment="1" applyProtection="1">
      <alignment horizontal="center" vertical="center"/>
      <protection locked="0"/>
    </xf>
    <xf numFmtId="0" fontId="31" fillId="25" borderId="0" xfId="0" applyFont="1" applyFill="1" applyAlignment="1" applyProtection="1">
      <alignment horizontal="center"/>
      <protection locked="0"/>
    </xf>
    <xf numFmtId="0" fontId="29" fillId="25" borderId="0" xfId="0" applyFont="1" applyFill="1" applyProtection="1">
      <protection locked="0"/>
    </xf>
    <xf numFmtId="0" fontId="32" fillId="0" borderId="4" xfId="0" applyFont="1" applyBorder="1" applyAlignment="1" applyProtection="1">
      <alignment horizontal="center" vertical="center"/>
    </xf>
    <xf numFmtId="0" fontId="28" fillId="25" borderId="4" xfId="0" applyFont="1" applyFill="1" applyBorder="1" applyAlignment="1" applyProtection="1">
      <alignment horizontal="center" vertical="center" wrapText="1"/>
    </xf>
    <xf numFmtId="0" fontId="22" fillId="0" borderId="4" xfId="0" applyFont="1" applyBorder="1" applyProtection="1"/>
    <xf numFmtId="0" fontId="22" fillId="32" borderId="4" xfId="0" applyFont="1" applyFill="1" applyBorder="1" applyProtection="1"/>
    <xf numFmtId="0" fontId="28" fillId="0" borderId="4" xfId="0" applyFont="1" applyBorder="1" applyProtection="1"/>
    <xf numFmtId="0" fontId="29" fillId="0" borderId="4" xfId="0" applyFont="1" applyBorder="1" applyProtection="1"/>
    <xf numFmtId="0" fontId="22" fillId="0" borderId="5" xfId="0" applyFont="1" applyBorder="1" applyAlignment="1" applyProtection="1">
      <protection locked="0"/>
    </xf>
    <xf numFmtId="0" fontId="22" fillId="0" borderId="5" xfId="0" applyFont="1" applyBorder="1" applyAlignment="1" applyProtection="1">
      <alignment horizontal="right" vertical="center"/>
    </xf>
    <xf numFmtId="0" fontId="22" fillId="0" borderId="14" xfId="0" applyFont="1" applyBorder="1" applyAlignment="1" applyProtection="1">
      <alignment horizontal="right"/>
    </xf>
    <xf numFmtId="0" fontId="22" fillId="0" borderId="14" xfId="0" applyFont="1" applyBorder="1" applyAlignment="1" applyProtection="1">
      <alignment horizontal="left"/>
    </xf>
    <xf numFmtId="0" fontId="22" fillId="0" borderId="14" xfId="0" applyFont="1" applyBorder="1" applyAlignment="1" applyProtection="1">
      <alignment horizontal="center" vertical="center"/>
    </xf>
    <xf numFmtId="0" fontId="22" fillId="0" borderId="14" xfId="0" applyFont="1" applyBorder="1" applyAlignment="1" applyProtection="1">
      <alignment horizontal="right" vertical="center"/>
    </xf>
    <xf numFmtId="0" fontId="22" fillId="0" borderId="14" xfId="0" applyFont="1" applyBorder="1" applyAlignment="1" applyProtection="1">
      <alignment vertical="center"/>
    </xf>
    <xf numFmtId="0" fontId="22" fillId="20" borderId="14" xfId="0" applyFont="1" applyFill="1" applyBorder="1" applyAlignment="1" applyProtection="1">
      <alignment horizontal="left" vertical="center"/>
      <protection locked="0"/>
    </xf>
    <xf numFmtId="0" fontId="22" fillId="0" borderId="14" xfId="0" applyFont="1" applyBorder="1" applyAlignment="1" applyProtection="1">
      <alignment horizontal="center" vertical="center"/>
      <protection locked="0"/>
    </xf>
    <xf numFmtId="164" fontId="22" fillId="0" borderId="0" xfId="1" applyNumberFormat="1" applyFont="1" applyFill="1" applyBorder="1" applyAlignment="1" applyProtection="1">
      <alignment horizontal="center" vertical="center"/>
    </xf>
    <xf numFmtId="0" fontId="22" fillId="0" borderId="4" xfId="0" applyFont="1" applyBorder="1" applyAlignment="1" applyProtection="1">
      <alignment vertical="center"/>
      <protection locked="0"/>
    </xf>
    <xf numFmtId="166" fontId="0" fillId="0" borderId="4" xfId="0" applyNumberFormat="1" applyBorder="1" applyAlignment="1" applyProtection="1">
      <alignment horizontal="center"/>
    </xf>
    <xf numFmtId="166" fontId="0" fillId="0" borderId="4" xfId="0" applyNumberFormat="1" applyBorder="1" applyAlignment="1" applyProtection="1">
      <alignment horizontal="center" vertical="center"/>
    </xf>
    <xf numFmtId="0" fontId="22" fillId="0" borderId="0" xfId="0" applyFont="1" applyProtection="1"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left" vertical="top"/>
      <protection locked="0"/>
    </xf>
    <xf numFmtId="0" fontId="22" fillId="25" borderId="4" xfId="0" applyFont="1" applyFill="1" applyBorder="1" applyAlignment="1" applyProtection="1">
      <alignment horizontal="center" vertical="center"/>
      <protection locked="0"/>
    </xf>
    <xf numFmtId="0" fontId="22" fillId="25" borderId="4" xfId="0" applyFont="1" applyFill="1" applyBorder="1" applyAlignment="1" applyProtection="1">
      <alignment horizontal="center" vertical="center" wrapText="1"/>
    </xf>
    <xf numFmtId="0" fontId="22" fillId="25" borderId="4" xfId="0" applyFont="1" applyFill="1" applyBorder="1" applyAlignment="1" applyProtection="1">
      <alignment horizontal="center" vertical="center"/>
    </xf>
    <xf numFmtId="0" fontId="38" fillId="25" borderId="4" xfId="0" applyFont="1" applyFill="1" applyBorder="1" applyAlignment="1" applyProtection="1">
      <alignment horizontal="center" vertical="center" wrapText="1"/>
    </xf>
    <xf numFmtId="0" fontId="22" fillId="2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Protection="1">
      <protection locked="0"/>
    </xf>
    <xf numFmtId="0" fontId="31" fillId="0" borderId="13" xfId="0" applyFont="1" applyBorder="1" applyAlignment="1" applyProtection="1">
      <alignment horizontal="center"/>
      <protection locked="0"/>
    </xf>
    <xf numFmtId="0" fontId="5" fillId="25" borderId="0" xfId="0" applyFont="1" applyFill="1" applyProtection="1">
      <protection locked="0"/>
    </xf>
    <xf numFmtId="0" fontId="31" fillId="0" borderId="0" xfId="0" applyFont="1" applyAlignment="1" applyProtection="1">
      <alignment horizontal="right" vertical="top"/>
      <protection locked="0"/>
    </xf>
    <xf numFmtId="0" fontId="22" fillId="0" borderId="4" xfId="0" applyFont="1" applyBorder="1" applyAlignment="1" applyProtection="1">
      <alignment horizontal="right"/>
    </xf>
    <xf numFmtId="0" fontId="22" fillId="0" borderId="5" xfId="0" applyFont="1" applyBorder="1" applyAlignment="1" applyProtection="1">
      <alignment horizontal="left" vertical="center"/>
      <protection locked="0"/>
    </xf>
    <xf numFmtId="14" fontId="22" fillId="0" borderId="14" xfId="0" applyNumberFormat="1" applyFont="1" applyBorder="1" applyAlignment="1" applyProtection="1">
      <alignment horizontal="center" vertical="center"/>
      <protection locked="0"/>
    </xf>
    <xf numFmtId="0" fontId="22" fillId="0" borderId="14" xfId="0" applyFont="1" applyBorder="1" applyAlignment="1" applyProtection="1">
      <protection locked="0"/>
    </xf>
    <xf numFmtId="0" fontId="38" fillId="20" borderId="14" xfId="0" applyFont="1" applyFill="1" applyBorder="1" applyAlignment="1" applyProtection="1">
      <alignment vertical="center"/>
      <protection locked="0"/>
    </xf>
    <xf numFmtId="0" fontId="38" fillId="20" borderId="14" xfId="0" applyFont="1" applyFill="1" applyBorder="1" applyAlignment="1" applyProtection="1">
      <alignment horizontal="center" vertical="center"/>
      <protection locked="0"/>
    </xf>
    <xf numFmtId="14" fontId="22" fillId="0" borderId="0" xfId="0" applyNumberFormat="1" applyFont="1" applyBorder="1" applyAlignment="1" applyProtection="1">
      <alignment horizontal="center" vertical="center"/>
      <protection locked="0"/>
    </xf>
    <xf numFmtId="0" fontId="22" fillId="0" borderId="0" xfId="0" applyFont="1" applyBorder="1" applyAlignment="1" applyProtection="1">
      <protection locked="0"/>
    </xf>
    <xf numFmtId="0" fontId="22" fillId="0" borderId="0" xfId="0" applyFont="1" applyBorder="1" applyAlignment="1" applyProtection="1">
      <alignment horizontal="right"/>
    </xf>
    <xf numFmtId="0" fontId="22" fillId="0" borderId="0" xfId="0" applyFont="1" applyBorder="1" applyAlignment="1" applyProtection="1">
      <alignment horizontal="left"/>
    </xf>
    <xf numFmtId="0" fontId="22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vertical="center"/>
    </xf>
    <xf numFmtId="0" fontId="22" fillId="0" borderId="0" xfId="0" applyFont="1" applyFill="1" applyBorder="1" applyAlignment="1" applyProtection="1">
      <alignment vertical="center"/>
      <protection locked="0"/>
    </xf>
    <xf numFmtId="0" fontId="22" fillId="0" borderId="0" xfId="0" applyFont="1" applyBorder="1" applyAlignment="1" applyProtection="1">
      <alignment horizontal="left" vertical="center"/>
      <protection locked="0"/>
    </xf>
    <xf numFmtId="0" fontId="22" fillId="0" borderId="0" xfId="0" applyFont="1" applyFill="1" applyBorder="1" applyAlignment="1" applyProtection="1">
      <alignment horizontal="center" vertical="center"/>
      <protection locked="0"/>
    </xf>
    <xf numFmtId="0" fontId="22" fillId="0" borderId="0" xfId="0" applyFont="1" applyFill="1" applyBorder="1" applyAlignment="1" applyProtection="1">
      <alignment horizontal="center" vertical="center"/>
    </xf>
    <xf numFmtId="14" fontId="22" fillId="0" borderId="13" xfId="0" applyNumberFormat="1" applyFont="1" applyBorder="1" applyAlignment="1" applyProtection="1">
      <alignment horizontal="center" vertical="center"/>
      <protection locked="0"/>
    </xf>
    <xf numFmtId="0" fontId="22" fillId="0" borderId="13" xfId="0" applyFont="1" applyBorder="1" applyAlignment="1" applyProtection="1">
      <alignment horizontal="right"/>
    </xf>
    <xf numFmtId="0" fontId="22" fillId="0" borderId="13" xfId="0" applyFont="1" applyBorder="1" applyAlignment="1" applyProtection="1">
      <alignment horizontal="left"/>
    </xf>
    <xf numFmtId="0" fontId="22" fillId="0" borderId="13" xfId="0" applyFont="1" applyBorder="1" applyAlignment="1" applyProtection="1">
      <alignment horizontal="center" vertical="center"/>
    </xf>
    <xf numFmtId="0" fontId="22" fillId="0" borderId="13" xfId="0" applyFont="1" applyBorder="1" applyAlignment="1" applyProtection="1">
      <alignment horizontal="right" vertical="center"/>
    </xf>
    <xf numFmtId="0" fontId="22" fillId="0" borderId="13" xfId="0" applyFont="1" applyBorder="1" applyAlignment="1" applyProtection="1">
      <alignment vertical="center"/>
    </xf>
    <xf numFmtId="0" fontId="22" fillId="0" borderId="13" xfId="0" applyFont="1" applyFill="1" applyBorder="1" applyAlignment="1" applyProtection="1">
      <alignment vertical="center"/>
      <protection locked="0"/>
    </xf>
    <xf numFmtId="0" fontId="22" fillId="0" borderId="13" xfId="0" applyFont="1" applyBorder="1" applyAlignment="1" applyProtection="1">
      <alignment horizontal="left" vertical="center"/>
      <protection locked="0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0" fontId="31" fillId="0" borderId="13" xfId="0" applyFont="1" applyBorder="1" applyAlignment="1" applyProtection="1">
      <alignment horizontal="center"/>
    </xf>
    <xf numFmtId="0" fontId="22" fillId="0" borderId="4" xfId="0" applyFont="1" applyFill="1" applyBorder="1" applyAlignment="1" applyProtection="1">
      <alignment horizontal="right" vertical="center" wrapText="1"/>
    </xf>
    <xf numFmtId="0" fontId="22" fillId="0" borderId="5" xfId="0" applyFont="1" applyFill="1" applyBorder="1" applyAlignment="1" applyProtection="1">
      <alignment vertical="center"/>
    </xf>
    <xf numFmtId="0" fontId="22" fillId="0" borderId="12" xfId="0" applyFont="1" applyFill="1" applyBorder="1" applyAlignment="1" applyProtection="1">
      <alignment vertical="center"/>
    </xf>
    <xf numFmtId="0" fontId="38" fillId="0" borderId="4" xfId="0" applyFont="1" applyBorder="1" applyAlignment="1" applyProtection="1">
      <alignment horizontal="center" vertical="center"/>
    </xf>
    <xf numFmtId="0" fontId="22" fillId="0" borderId="4" xfId="0" applyFont="1" applyBorder="1" applyAlignment="1" applyProtection="1">
      <alignment horizontal="right" vertical="center"/>
    </xf>
    <xf numFmtId="0" fontId="22" fillId="0" borderId="4" xfId="0" applyFont="1" applyBorder="1" applyAlignment="1" applyProtection="1">
      <alignment horizontal="left" vertical="center"/>
    </xf>
    <xf numFmtId="0" fontId="22" fillId="0" borderId="4" xfId="0" applyFont="1" applyBorder="1" applyAlignment="1" applyProtection="1">
      <alignment vertical="center"/>
    </xf>
    <xf numFmtId="0" fontId="22" fillId="20" borderId="5" xfId="0" applyFont="1" applyFill="1" applyBorder="1" applyAlignment="1" applyProtection="1">
      <alignment horizontal="left" vertical="center" wrapText="1"/>
      <protection locked="0"/>
    </xf>
    <xf numFmtId="0" fontId="22" fillId="0" borderId="5" xfId="0" applyFont="1" applyBorder="1" applyAlignment="1" applyProtection="1">
      <alignment vertical="center"/>
    </xf>
    <xf numFmtId="0" fontId="22" fillId="0" borderId="12" xfId="0" applyFont="1" applyBorder="1" applyAlignment="1" applyProtection="1">
      <alignment vertical="center"/>
    </xf>
    <xf numFmtId="0" fontId="22" fillId="20" borderId="4" xfId="0" applyFont="1" applyFill="1" applyBorder="1" applyAlignment="1" applyProtection="1">
      <alignment horizontal="right" vertical="center" wrapText="1"/>
    </xf>
    <xf numFmtId="0" fontId="22" fillId="0" borderId="4" xfId="0" applyFont="1" applyBorder="1" applyAlignment="1" applyProtection="1">
      <alignment horizontal="left"/>
    </xf>
    <xf numFmtId="3" fontId="22" fillId="0" borderId="4" xfId="0" applyNumberFormat="1" applyFont="1" applyBorder="1" applyAlignment="1" applyProtection="1">
      <alignment horizontal="center" vertical="center"/>
    </xf>
    <xf numFmtId="0" fontId="39" fillId="0" borderId="5" xfId="0" applyFont="1" applyBorder="1" applyAlignment="1" applyProtection="1">
      <alignment vertical="center"/>
    </xf>
    <xf numFmtId="0" fontId="22" fillId="0" borderId="4" xfId="0" applyFont="1" applyBorder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22" fillId="0" borderId="4" xfId="0" applyFont="1" applyFill="1" applyBorder="1" applyAlignment="1" applyProtection="1">
      <alignment horizontal="center" vertical="center"/>
      <protection locked="0"/>
    </xf>
    <xf numFmtId="0" fontId="22" fillId="20" borderId="4" xfId="0" applyFont="1" applyFill="1" applyBorder="1" applyAlignment="1" applyProtection="1">
      <alignment horizontal="center" vertical="center"/>
      <protection locked="0"/>
    </xf>
    <xf numFmtId="0" fontId="22" fillId="25" borderId="5" xfId="0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Protection="1">
      <protection locked="0"/>
    </xf>
    <xf numFmtId="0" fontId="40" fillId="0" borderId="0" xfId="0" applyFont="1"/>
    <xf numFmtId="0" fontId="23" fillId="20" borderId="4" xfId="0" applyFont="1" applyFill="1" applyBorder="1" applyAlignment="1" applyProtection="1">
      <alignment horizontal="center" vertical="center"/>
    </xf>
    <xf numFmtId="0" fontId="24" fillId="20" borderId="0" xfId="0" applyFont="1" applyFill="1" applyAlignment="1" applyProtection="1">
      <alignment horizontal="right" vertical="top"/>
      <protection locked="0"/>
    </xf>
    <xf numFmtId="0" fontId="24" fillId="20" borderId="4" xfId="0" applyFont="1" applyFill="1" applyBorder="1" applyAlignment="1" applyProtection="1">
      <alignment horizontal="center"/>
      <protection locked="0"/>
    </xf>
    <xf numFmtId="1" fontId="24" fillId="20" borderId="4" xfId="0" applyNumberFormat="1" applyFont="1" applyFill="1" applyBorder="1" applyAlignment="1" applyProtection="1">
      <alignment horizontal="center"/>
    </xf>
    <xf numFmtId="0" fontId="37" fillId="20" borderId="4" xfId="0" applyFont="1" applyFill="1" applyBorder="1" applyAlignment="1">
      <alignment horizontal="left" vertical="center"/>
    </xf>
    <xf numFmtId="0" fontId="23" fillId="20" borderId="4" xfId="0" applyFont="1" applyFill="1" applyBorder="1" applyAlignment="1" applyProtection="1">
      <alignment vertical="center"/>
      <protection locked="0"/>
    </xf>
    <xf numFmtId="0" fontId="25" fillId="20" borderId="4" xfId="0" applyFont="1" applyFill="1" applyBorder="1" applyAlignment="1">
      <alignment horizontal="center" vertical="center" wrapText="1"/>
    </xf>
    <xf numFmtId="164" fontId="23" fillId="20" borderId="4" xfId="0" applyNumberFormat="1" applyFont="1" applyFill="1" applyBorder="1" applyAlignment="1" applyProtection="1">
      <alignment horizontal="center" vertical="center"/>
    </xf>
    <xf numFmtId="0" fontId="24" fillId="20" borderId="4" xfId="0" applyFont="1" applyFill="1" applyBorder="1" applyProtection="1">
      <protection locked="0"/>
    </xf>
    <xf numFmtId="164" fontId="24" fillId="20" borderId="4" xfId="0" applyNumberFormat="1" applyFont="1" applyFill="1" applyBorder="1" applyAlignment="1" applyProtection="1">
      <alignment horizontal="center" vertical="center"/>
    </xf>
    <xf numFmtId="14" fontId="24" fillId="20" borderId="4" xfId="0" applyNumberFormat="1" applyFont="1" applyFill="1" applyBorder="1" applyAlignment="1" applyProtection="1">
      <alignment horizontal="center" vertical="center"/>
      <protection locked="0"/>
    </xf>
    <xf numFmtId="164" fontId="24" fillId="20" borderId="4" xfId="0" applyNumberFormat="1" applyFont="1" applyFill="1" applyBorder="1" applyProtection="1">
      <protection locked="0"/>
    </xf>
    <xf numFmtId="0" fontId="25" fillId="20" borderId="4" xfId="0" applyFont="1" applyFill="1" applyBorder="1" applyProtection="1">
      <protection locked="0"/>
    </xf>
    <xf numFmtId="0" fontId="25" fillId="20" borderId="4" xfId="0" applyFont="1" applyFill="1" applyBorder="1" applyProtection="1"/>
    <xf numFmtId="0" fontId="25" fillId="14" borderId="0" xfId="0" applyFont="1" applyFill="1" applyAlignment="1" applyProtection="1">
      <alignment horizontal="left" vertical="top"/>
      <protection locked="0"/>
    </xf>
    <xf numFmtId="0" fontId="34" fillId="14" borderId="9" xfId="0" applyFont="1" applyFill="1" applyBorder="1" applyAlignment="1">
      <alignment horizontal="center" vertical="center" wrapText="1"/>
    </xf>
    <xf numFmtId="0" fontId="23" fillId="14" borderId="5" xfId="0" applyFont="1" applyFill="1" applyBorder="1" applyAlignment="1" applyProtection="1">
      <alignment vertical="center" wrapText="1"/>
    </xf>
    <xf numFmtId="0" fontId="34" fillId="14" borderId="10" xfId="0" applyFont="1" applyFill="1" applyBorder="1" applyAlignment="1">
      <alignment horizontal="center" vertical="center" wrapText="1"/>
    </xf>
    <xf numFmtId="0" fontId="34" fillId="14" borderId="11" xfId="0" applyFont="1" applyFill="1" applyBorder="1" applyAlignment="1">
      <alignment horizontal="center" vertical="center" wrapText="1"/>
    </xf>
    <xf numFmtId="0" fontId="23" fillId="14" borderId="5" xfId="0" applyFont="1" applyFill="1" applyBorder="1" applyAlignment="1" applyProtection="1">
      <alignment vertical="center" wrapText="1"/>
      <protection locked="0"/>
    </xf>
    <xf numFmtId="0" fontId="23" fillId="14" borderId="12" xfId="0" applyFont="1" applyFill="1" applyBorder="1" applyAlignment="1" applyProtection="1">
      <alignment vertical="center" wrapText="1"/>
      <protection locked="0"/>
    </xf>
    <xf numFmtId="0" fontId="23" fillId="14" borderId="4" xfId="0" applyFont="1" applyFill="1" applyBorder="1" applyAlignment="1" applyProtection="1">
      <alignment horizontal="center" vertical="center"/>
    </xf>
    <xf numFmtId="0" fontId="33" fillId="14" borderId="4" xfId="0" applyFont="1" applyFill="1" applyBorder="1" applyAlignment="1" applyProtection="1">
      <alignment horizontal="center" vertical="center" wrapText="1"/>
    </xf>
    <xf numFmtId="0" fontId="24" fillId="33" borderId="13" xfId="0" applyFont="1" applyFill="1" applyBorder="1" applyAlignment="1" applyProtection="1">
      <alignment horizontal="center"/>
      <protection locked="0"/>
    </xf>
    <xf numFmtId="0" fontId="24" fillId="33" borderId="4" xfId="0" applyFont="1" applyFill="1" applyBorder="1" applyAlignment="1" applyProtection="1">
      <alignment horizontal="right" vertical="center"/>
      <protection locked="0"/>
    </xf>
    <xf numFmtId="0" fontId="34" fillId="30" borderId="9" xfId="0" applyFont="1" applyFill="1" applyBorder="1" applyAlignment="1">
      <alignment horizontal="center" vertical="center" wrapText="1"/>
    </xf>
    <xf numFmtId="0" fontId="23" fillId="30" borderId="5" xfId="0" applyFont="1" applyFill="1" applyBorder="1" applyAlignment="1" applyProtection="1">
      <alignment vertical="center" wrapText="1"/>
    </xf>
    <xf numFmtId="0" fontId="34" fillId="30" borderId="10" xfId="0" applyFont="1" applyFill="1" applyBorder="1" applyAlignment="1">
      <alignment horizontal="center" vertical="center" wrapText="1"/>
    </xf>
    <xf numFmtId="0" fontId="34" fillId="30" borderId="11" xfId="0" applyFont="1" applyFill="1" applyBorder="1" applyAlignment="1">
      <alignment horizontal="center" vertical="center" wrapText="1"/>
    </xf>
    <xf numFmtId="0" fontId="23" fillId="30" borderId="4" xfId="0" applyFont="1" applyFill="1" applyBorder="1" applyAlignment="1" applyProtection="1">
      <alignment vertical="center" wrapText="1"/>
      <protection locked="0"/>
    </xf>
    <xf numFmtId="0" fontId="23" fillId="30" borderId="4" xfId="0" applyFont="1" applyFill="1" applyBorder="1" applyAlignment="1" applyProtection="1">
      <alignment horizontal="center" vertical="center" wrapText="1"/>
      <protection locked="0"/>
    </xf>
    <xf numFmtId="0" fontId="33" fillId="30" borderId="4" xfId="0" applyFont="1" applyFill="1" applyBorder="1" applyAlignment="1" applyProtection="1">
      <alignment horizontal="center" vertical="center" wrapText="1"/>
    </xf>
    <xf numFmtId="0" fontId="23" fillId="29" borderId="4" xfId="0" applyFont="1" applyFill="1" applyBorder="1" applyAlignment="1" applyProtection="1">
      <alignment horizontal="center" vertical="center" wrapText="1"/>
      <protection locked="0"/>
    </xf>
    <xf numFmtId="0" fontId="42" fillId="35" borderId="20" xfId="3" applyProtection="1">
      <protection locked="0"/>
    </xf>
    <xf numFmtId="0" fontId="41" fillId="34" borderId="20" xfId="2" applyBorder="1" applyProtection="1">
      <protection locked="0"/>
    </xf>
    <xf numFmtId="0" fontId="23" fillId="20" borderId="12" xfId="0" applyFont="1" applyFill="1" applyBorder="1" applyAlignment="1" applyProtection="1">
      <alignment vertical="center" wrapText="1"/>
      <protection locked="0"/>
    </xf>
    <xf numFmtId="0" fontId="43" fillId="36" borderId="0" xfId="0" applyFont="1" applyFill="1" applyBorder="1" applyAlignment="1" applyProtection="1">
      <alignment vertical="center" wrapText="1"/>
    </xf>
    <xf numFmtId="0" fontId="44" fillId="20" borderId="4" xfId="0" applyFont="1" applyFill="1" applyBorder="1" applyAlignment="1">
      <alignment horizontal="center" vertical="center"/>
    </xf>
    <xf numFmtId="0" fontId="0" fillId="20" borderId="4" xfId="0" applyFont="1" applyFill="1" applyBorder="1" applyAlignment="1">
      <alignment horizontal="center" vertical="center"/>
    </xf>
    <xf numFmtId="14" fontId="4" fillId="20" borderId="4" xfId="0" applyNumberFormat="1" applyFont="1" applyFill="1" applyBorder="1" applyAlignment="1" applyProtection="1">
      <alignment horizontal="center"/>
      <protection locked="0"/>
    </xf>
    <xf numFmtId="0" fontId="24" fillId="31" borderId="14" xfId="0" applyFont="1" applyFill="1" applyBorder="1" applyAlignment="1" applyProtection="1">
      <alignment vertical="center"/>
      <protection locked="0"/>
    </xf>
    <xf numFmtId="0" fontId="23" fillId="0" borderId="5" xfId="0" applyFont="1" applyBorder="1" applyAlignment="1" applyProtection="1">
      <alignment horizontal="center" vertical="center"/>
      <protection locked="0"/>
    </xf>
    <xf numFmtId="164" fontId="24" fillId="31" borderId="0" xfId="1" applyNumberFormat="1" applyFont="1" applyFill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24" fillId="31" borderId="0" xfId="0" applyFont="1" applyFill="1" applyBorder="1" applyAlignment="1" applyProtection="1">
      <alignment horizontal="center" vertical="center"/>
      <protection locked="0"/>
    </xf>
    <xf numFmtId="0" fontId="23" fillId="30" borderId="4" xfId="0" applyFont="1" applyFill="1" applyBorder="1" applyAlignment="1" applyProtection="1">
      <alignment horizontal="center" vertical="center" wrapText="1"/>
    </xf>
    <xf numFmtId="0" fontId="25" fillId="14" borderId="4" xfId="0" applyFont="1" applyFill="1" applyBorder="1" applyAlignment="1" applyProtection="1">
      <alignment horizontal="center" vertical="center" wrapText="1"/>
      <protection locked="0"/>
    </xf>
    <xf numFmtId="3" fontId="25" fillId="0" borderId="0" xfId="0" applyNumberFormat="1" applyFont="1" applyProtection="1">
      <protection locked="0"/>
    </xf>
    <xf numFmtId="0" fontId="23" fillId="20" borderId="4" xfId="0" applyFont="1" applyFill="1" applyBorder="1" applyAlignment="1" applyProtection="1">
      <alignment horizontal="left"/>
      <protection locked="0"/>
    </xf>
    <xf numFmtId="0" fontId="23" fillId="20" borderId="4" xfId="0" applyFont="1" applyFill="1" applyBorder="1" applyProtection="1">
      <protection locked="0"/>
    </xf>
    <xf numFmtId="1" fontId="23" fillId="20" borderId="4" xfId="0" applyNumberFormat="1" applyFont="1" applyFill="1" applyBorder="1" applyAlignment="1" applyProtection="1">
      <alignment horizontal="center" vertical="center"/>
    </xf>
    <xf numFmtId="3" fontId="23" fillId="0" borderId="4" xfId="0" applyNumberFormat="1" applyFont="1" applyBorder="1" applyProtection="1">
      <protection locked="0"/>
    </xf>
    <xf numFmtId="3" fontId="25" fillId="0" borderId="4" xfId="0" applyNumberFormat="1" applyFont="1" applyBorder="1" applyAlignment="1" applyProtection="1">
      <alignment horizontal="center" vertical="center"/>
      <protection locked="0"/>
    </xf>
    <xf numFmtId="0" fontId="45" fillId="14" borderId="4" xfId="0" applyFont="1" applyFill="1" applyBorder="1" applyAlignment="1" applyProtection="1">
      <alignment horizontal="center" vertical="center" wrapText="1"/>
      <protection locked="0"/>
    </xf>
    <xf numFmtId="0" fontId="22" fillId="30" borderId="4" xfId="0" applyFont="1" applyFill="1" applyBorder="1" applyAlignment="1" applyProtection="1">
      <alignment horizontal="center" vertical="center" wrapText="1"/>
    </xf>
    <xf numFmtId="0" fontId="5" fillId="14" borderId="4" xfId="0" applyFont="1" applyFill="1" applyBorder="1" applyAlignment="1" applyProtection="1">
      <alignment horizontal="center" vertical="center" wrapText="1"/>
      <protection locked="0"/>
    </xf>
    <xf numFmtId="0" fontId="31" fillId="14" borderId="4" xfId="0" applyFont="1" applyFill="1" applyBorder="1" applyAlignment="1" applyProtection="1">
      <alignment horizontal="center" vertical="center"/>
      <protection locked="0"/>
    </xf>
    <xf numFmtId="0" fontId="5" fillId="0" borderId="4" xfId="0" applyFont="1" applyBorder="1" applyProtection="1">
      <protection locked="0"/>
    </xf>
    <xf numFmtId="0" fontId="43" fillId="0" borderId="0" xfId="0" applyFont="1" applyProtection="1"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3" fillId="0" borderId="0" xfId="0" applyFont="1" applyBorder="1" applyProtection="1">
      <protection locked="0"/>
    </xf>
    <xf numFmtId="0" fontId="0" fillId="0" borderId="0" xfId="0" applyFont="1" applyProtection="1">
      <protection locked="0"/>
    </xf>
    <xf numFmtId="0" fontId="43" fillId="20" borderId="0" xfId="0" applyFont="1" applyFill="1" applyBorder="1" applyAlignment="1" applyProtection="1">
      <alignment horizontal="right" vertical="center"/>
      <protection locked="0"/>
    </xf>
    <xf numFmtId="0" fontId="43" fillId="26" borderId="4" xfId="0" applyFont="1" applyFill="1" applyBorder="1" applyAlignment="1" applyProtection="1">
      <alignment horizontal="center" vertical="center"/>
    </xf>
    <xf numFmtId="0" fontId="45" fillId="20" borderId="0" xfId="0" applyFont="1" applyFill="1" applyAlignment="1">
      <alignment vertical="center" wrapText="1"/>
    </xf>
    <xf numFmtId="0" fontId="22" fillId="26" borderId="4" xfId="0" applyFont="1" applyFill="1" applyBorder="1" applyAlignment="1" applyProtection="1">
      <alignment horizontal="center" vertical="center"/>
      <protection locked="0"/>
    </xf>
    <xf numFmtId="0" fontId="24" fillId="0" borderId="4" xfId="0" applyFont="1" applyBorder="1" applyAlignment="1" applyProtection="1">
      <alignment horizontal="center"/>
      <protection locked="0"/>
    </xf>
    <xf numFmtId="0" fontId="45" fillId="0" borderId="0" xfId="0" applyFont="1"/>
    <xf numFmtId="0" fontId="0" fillId="0" borderId="23" xfId="0" applyBorder="1" applyAlignment="1">
      <alignment vertical="center"/>
    </xf>
    <xf numFmtId="0" fontId="29" fillId="0" borderId="0" xfId="0" applyFont="1" applyAlignment="1">
      <alignment vertical="center"/>
    </xf>
    <xf numFmtId="2" fontId="0" fillId="0" borderId="23" xfId="0" applyNumberFormat="1" applyBorder="1" applyAlignment="1">
      <alignment vertical="center"/>
    </xf>
    <xf numFmtId="0" fontId="0" fillId="0" borderId="0" xfId="0" applyAlignment="1">
      <alignment vertical="center"/>
    </xf>
    <xf numFmtId="2" fontId="0" fillId="0" borderId="26" xfId="0" applyNumberFormat="1" applyBorder="1" applyAlignment="1">
      <alignment vertical="center"/>
    </xf>
    <xf numFmtId="0" fontId="50" fillId="20" borderId="4" xfId="0" applyFont="1" applyFill="1" applyBorder="1" applyAlignment="1">
      <alignment horizontal="center" vertical="center"/>
    </xf>
    <xf numFmtId="0" fontId="51" fillId="20" borderId="4" xfId="0" applyFont="1" applyFill="1" applyBorder="1" applyAlignment="1">
      <alignment horizontal="center" vertical="center"/>
    </xf>
    <xf numFmtId="2" fontId="50" fillId="20" borderId="4" xfId="0" applyNumberFormat="1" applyFont="1" applyFill="1" applyBorder="1" applyAlignment="1">
      <alignment horizontal="center" vertical="center"/>
    </xf>
    <xf numFmtId="0" fontId="52" fillId="20" borderId="4" xfId="0" applyFont="1" applyFill="1" applyBorder="1" applyAlignment="1">
      <alignment horizontal="center" vertical="center" wrapText="1"/>
    </xf>
    <xf numFmtId="0" fontId="53" fillId="20" borderId="4" xfId="0" applyFont="1" applyFill="1" applyBorder="1" applyAlignment="1">
      <alignment horizontal="center" vertical="center" wrapText="1"/>
    </xf>
    <xf numFmtId="0" fontId="52" fillId="20" borderId="4" xfId="0" applyFont="1" applyFill="1" applyBorder="1" applyAlignment="1">
      <alignment horizontal="center" vertical="center"/>
    </xf>
    <xf numFmtId="1" fontId="50" fillId="20" borderId="4" xfId="0" applyNumberFormat="1" applyFont="1" applyFill="1" applyBorder="1" applyAlignment="1">
      <alignment horizontal="center" vertical="center"/>
    </xf>
    <xf numFmtId="0" fontId="50" fillId="20" borderId="4" xfId="0" applyFont="1" applyFill="1" applyBorder="1" applyAlignment="1">
      <alignment horizontal="right" vertical="center"/>
    </xf>
    <xf numFmtId="0" fontId="51" fillId="20" borderId="4" xfId="0" applyFont="1" applyFill="1" applyBorder="1" applyAlignment="1">
      <alignment horizontal="right" vertical="center"/>
    </xf>
    <xf numFmtId="0" fontId="54" fillId="20" borderId="4" xfId="0" applyFont="1" applyFill="1" applyBorder="1" applyAlignment="1" applyProtection="1">
      <alignment horizontal="left"/>
    </xf>
    <xf numFmtId="0" fontId="50" fillId="20" borderId="4" xfId="0" applyFont="1" applyFill="1" applyBorder="1" applyAlignment="1" applyProtection="1">
      <alignment horizontal="center" vertical="center"/>
    </xf>
    <xf numFmtId="2" fontId="50" fillId="20" borderId="4" xfId="0" applyNumberFormat="1" applyFont="1" applyFill="1" applyBorder="1" applyAlignment="1" applyProtection="1">
      <alignment horizontal="center" vertical="center"/>
    </xf>
    <xf numFmtId="0" fontId="51" fillId="20" borderId="4" xfId="0" applyFont="1" applyFill="1" applyBorder="1" applyAlignment="1" applyProtection="1">
      <alignment horizontal="center" vertical="center"/>
    </xf>
    <xf numFmtId="1" fontId="50" fillId="20" borderId="4" xfId="0" applyNumberFormat="1" applyFont="1" applyFill="1" applyBorder="1" applyAlignment="1" applyProtection="1">
      <alignment horizontal="center" vertical="center"/>
    </xf>
    <xf numFmtId="166" fontId="50" fillId="20" borderId="4" xfId="0" applyNumberFormat="1" applyFont="1" applyFill="1" applyBorder="1" applyAlignment="1" applyProtection="1">
      <alignment horizontal="center" vertical="center"/>
    </xf>
    <xf numFmtId="0" fontId="55" fillId="20" borderId="4" xfId="0" applyFont="1" applyFill="1" applyBorder="1" applyAlignment="1" applyProtection="1">
      <alignment horizontal="center" vertical="center"/>
    </xf>
    <xf numFmtId="0" fontId="56" fillId="20" borderId="4" xfId="0" applyFont="1" applyFill="1" applyBorder="1" applyAlignment="1" applyProtection="1">
      <alignment horizontal="center" vertical="center"/>
    </xf>
    <xf numFmtId="1" fontId="55" fillId="20" borderId="4" xfId="0" applyNumberFormat="1" applyFont="1" applyFill="1" applyBorder="1" applyAlignment="1" applyProtection="1">
      <alignment horizontal="center" vertical="center"/>
    </xf>
    <xf numFmtId="0" fontId="57" fillId="20" borderId="4" xfId="0" applyFont="1" applyFill="1" applyBorder="1" applyAlignment="1" applyProtection="1">
      <alignment horizontal="center" vertical="center"/>
    </xf>
    <xf numFmtId="0" fontId="55" fillId="20" borderId="4" xfId="0" applyFont="1" applyFill="1" applyBorder="1" applyAlignment="1" applyProtection="1">
      <alignment vertical="center"/>
    </xf>
    <xf numFmtId="0" fontId="56" fillId="20" borderId="4" xfId="0" applyFont="1" applyFill="1" applyBorder="1" applyAlignment="1" applyProtection="1">
      <alignment vertical="center"/>
    </xf>
    <xf numFmtId="2" fontId="55" fillId="20" borderId="4" xfId="0" applyNumberFormat="1" applyFont="1" applyFill="1" applyBorder="1" applyAlignment="1" applyProtection="1">
      <alignment horizontal="center" vertical="center"/>
    </xf>
    <xf numFmtId="0" fontId="55" fillId="20" borderId="4" xfId="0" applyFont="1" applyFill="1" applyBorder="1" applyAlignment="1" applyProtection="1">
      <alignment horizontal="center"/>
    </xf>
    <xf numFmtId="0" fontId="56" fillId="20" borderId="4" xfId="0" applyFont="1" applyFill="1" applyBorder="1" applyAlignment="1" applyProtection="1">
      <alignment horizontal="center"/>
    </xf>
    <xf numFmtId="0" fontId="55" fillId="20" borderId="4" xfId="0" applyFont="1" applyFill="1" applyBorder="1" applyAlignment="1">
      <alignment horizontal="center"/>
    </xf>
    <xf numFmtId="0" fontId="23" fillId="30" borderId="4" xfId="0" applyFont="1" applyFill="1" applyBorder="1" applyAlignment="1" applyProtection="1">
      <alignment horizontal="center"/>
      <protection locked="0"/>
    </xf>
    <xf numFmtId="0" fontId="46" fillId="30" borderId="4" xfId="0" applyFont="1" applyFill="1" applyBorder="1" applyAlignment="1" applyProtection="1">
      <alignment horizontal="center"/>
      <protection locked="0"/>
    </xf>
    <xf numFmtId="1" fontId="46" fillId="30" borderId="4" xfId="0" applyNumberFormat="1" applyFont="1" applyFill="1" applyBorder="1" applyAlignment="1" applyProtection="1">
      <alignment horizontal="center"/>
      <protection locked="0"/>
    </xf>
    <xf numFmtId="0" fontId="58" fillId="30" borderId="4" xfId="0" applyFont="1" applyFill="1" applyBorder="1" applyAlignment="1" applyProtection="1">
      <alignment horizontal="center"/>
      <protection locked="0"/>
    </xf>
    <xf numFmtId="0" fontId="46" fillId="14" borderId="4" xfId="0" applyFont="1" applyFill="1" applyBorder="1" applyAlignment="1" applyProtection="1">
      <alignment horizontal="center"/>
      <protection locked="0"/>
    </xf>
    <xf numFmtId="0" fontId="58" fillId="14" borderId="4" xfId="0" applyFont="1" applyFill="1" applyBorder="1" applyAlignment="1" applyProtection="1">
      <alignment horizontal="center"/>
      <protection locked="0"/>
    </xf>
    <xf numFmtId="0" fontId="23" fillId="26" borderId="4" xfId="0" applyFont="1" applyFill="1" applyBorder="1" applyAlignment="1" applyProtection="1">
      <alignment horizontal="center" vertical="center"/>
    </xf>
    <xf numFmtId="0" fontId="23" fillId="36" borderId="4" xfId="0" applyFont="1" applyFill="1" applyBorder="1" applyAlignment="1" applyProtection="1">
      <alignment horizontal="center" vertical="center"/>
    </xf>
    <xf numFmtId="0" fontId="59" fillId="0" borderId="0" xfId="0" applyFont="1"/>
    <xf numFmtId="0" fontId="60" fillId="0" borderId="0" xfId="0" applyFont="1"/>
    <xf numFmtId="0" fontId="2" fillId="0" borderId="0" xfId="0" applyFont="1"/>
    <xf numFmtId="0" fontId="25" fillId="0" borderId="4" xfId="0" applyFont="1" applyBorder="1" applyAlignment="1">
      <alignment horizontal="center" vertical="center"/>
    </xf>
    <xf numFmtId="0" fontId="58" fillId="20" borderId="4" xfId="0" applyFont="1" applyFill="1" applyBorder="1" applyAlignment="1" applyProtection="1">
      <alignment horizontal="center"/>
      <protection locked="0"/>
    </xf>
    <xf numFmtId="0" fontId="61" fillId="20" borderId="4" xfId="0" applyFont="1" applyFill="1" applyBorder="1" applyAlignment="1">
      <alignment horizontal="center" vertical="center"/>
    </xf>
    <xf numFmtId="0" fontId="0" fillId="0" borderId="0" xfId="0" applyAlignment="1"/>
    <xf numFmtId="0" fontId="59" fillId="0" borderId="0" xfId="0" applyFont="1" applyProtection="1"/>
    <xf numFmtId="0" fontId="0" fillId="0" borderId="0" xfId="0" applyProtection="1"/>
    <xf numFmtId="0" fontId="0" fillId="0" borderId="0" xfId="0" applyAlignment="1" applyProtection="1"/>
    <xf numFmtId="0" fontId="60" fillId="0" borderId="0" xfId="0" applyFont="1" applyProtection="1"/>
    <xf numFmtId="0" fontId="2" fillId="0" borderId="0" xfId="0" applyFont="1" applyProtection="1"/>
    <xf numFmtId="0" fontId="62" fillId="30" borderId="4" xfId="0" applyFont="1" applyFill="1" applyBorder="1" applyAlignment="1" applyProtection="1">
      <alignment horizontal="center" vertical="center"/>
      <protection locked="0"/>
    </xf>
    <xf numFmtId="0" fontId="24" fillId="37" borderId="4" xfId="0" applyFont="1" applyFill="1" applyBorder="1" applyAlignment="1" applyProtection="1">
      <alignment horizontal="right" vertical="center"/>
      <protection locked="0"/>
    </xf>
    <xf numFmtId="14" fontId="30" fillId="37" borderId="0" xfId="0" applyNumberFormat="1" applyFont="1" applyFill="1" applyAlignment="1" applyProtection="1">
      <alignment horizontal="center" vertical="center"/>
      <protection locked="0"/>
    </xf>
    <xf numFmtId="0" fontId="35" fillId="33" borderId="13" xfId="0" applyFont="1" applyFill="1" applyBorder="1" applyAlignment="1" applyProtection="1">
      <alignment vertical="center"/>
      <protection locked="0"/>
    </xf>
    <xf numFmtId="0" fontId="35" fillId="37" borderId="13" xfId="0" applyFont="1" applyFill="1" applyBorder="1" applyAlignment="1" applyProtection="1">
      <alignment vertical="center"/>
      <protection locked="0"/>
    </xf>
    <xf numFmtId="165" fontId="35" fillId="33" borderId="0" xfId="0" applyNumberFormat="1" applyFont="1" applyFill="1" applyBorder="1" applyAlignment="1" applyProtection="1">
      <alignment vertical="center"/>
      <protection locked="0"/>
    </xf>
    <xf numFmtId="0" fontId="25" fillId="33" borderId="0" xfId="0" applyFont="1" applyFill="1" applyAlignment="1" applyProtection="1">
      <alignment vertical="center"/>
      <protection locked="0"/>
    </xf>
    <xf numFmtId="2" fontId="0" fillId="0" borderId="4" xfId="0" applyNumberFormat="1" applyBorder="1" applyAlignment="1" applyProtection="1">
      <alignment horizontal="center"/>
    </xf>
    <xf numFmtId="2" fontId="24" fillId="20" borderId="4" xfId="0" applyNumberFormat="1" applyFont="1" applyFill="1" applyBorder="1" applyAlignment="1" applyProtection="1">
      <alignment horizontal="center"/>
    </xf>
    <xf numFmtId="0" fontId="23" fillId="26" borderId="0" xfId="0" applyFont="1" applyFill="1" applyAlignment="1" applyProtection="1">
      <alignment horizontal="center" vertical="center"/>
      <protection locked="0"/>
    </xf>
    <xf numFmtId="0" fontId="47" fillId="28" borderId="4" xfId="0" applyFont="1" applyFill="1" applyBorder="1" applyAlignment="1" applyProtection="1">
      <alignment horizontal="center" vertical="center"/>
      <protection locked="0"/>
    </xf>
    <xf numFmtId="164" fontId="63" fillId="30" borderId="4" xfId="1" applyNumberFormat="1" applyFont="1" applyFill="1" applyBorder="1" applyAlignment="1" applyProtection="1">
      <alignment horizontal="left" vertical="center"/>
    </xf>
    <xf numFmtId="164" fontId="47" fillId="28" borderId="0" xfId="1" applyNumberFormat="1" applyFont="1" applyFill="1" applyBorder="1" applyAlignment="1" applyProtection="1">
      <alignment horizontal="left" vertical="center"/>
      <protection locked="0"/>
    </xf>
    <xf numFmtId="3" fontId="47" fillId="28" borderId="4" xfId="0" applyNumberFormat="1" applyFont="1" applyFill="1" applyBorder="1" applyAlignment="1" applyProtection="1">
      <alignment horizontal="center" vertical="center"/>
    </xf>
    <xf numFmtId="0" fontId="22" fillId="20" borderId="0" xfId="0" applyFont="1" applyFill="1" applyBorder="1" applyAlignment="1" applyProtection="1">
      <alignment horizontal="center" vertical="center"/>
    </xf>
    <xf numFmtId="164" fontId="63" fillId="30" borderId="12" xfId="1" applyNumberFormat="1" applyFont="1" applyFill="1" applyBorder="1" applyAlignment="1" applyProtection="1">
      <alignment horizontal="left" vertical="center"/>
    </xf>
    <xf numFmtId="0" fontId="46" fillId="14" borderId="5" xfId="0" applyFont="1" applyFill="1" applyBorder="1" applyAlignment="1" applyProtection="1">
      <alignment horizontal="center" vertical="center"/>
    </xf>
    <xf numFmtId="164" fontId="47" fillId="30" borderId="4" xfId="0" applyNumberFormat="1" applyFont="1" applyFill="1" applyBorder="1" applyProtection="1"/>
    <xf numFmtId="0" fontId="46" fillId="0" borderId="16" xfId="0" applyFont="1" applyBorder="1" applyAlignment="1" applyProtection="1">
      <alignment horizontal="center"/>
      <protection locked="0"/>
    </xf>
    <xf numFmtId="0" fontId="46" fillId="0" borderId="4" xfId="0" applyFont="1" applyBorder="1" applyAlignment="1" applyProtection="1">
      <alignment horizontal="center"/>
      <protection locked="0"/>
    </xf>
    <xf numFmtId="0" fontId="46" fillId="20" borderId="4" xfId="0" applyFont="1" applyFill="1" applyBorder="1" applyAlignment="1" applyProtection="1">
      <alignment horizontal="center"/>
      <protection locked="0"/>
    </xf>
    <xf numFmtId="0" fontId="43" fillId="29" borderId="5" xfId="0" applyFont="1" applyFill="1" applyBorder="1" applyAlignment="1" applyProtection="1">
      <alignment horizontal="center" vertical="center" wrapText="1"/>
      <protection locked="0"/>
    </xf>
    <xf numFmtId="1" fontId="47" fillId="29" borderId="12" xfId="0" applyNumberFormat="1" applyFont="1" applyFill="1" applyBorder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  <protection locked="0"/>
    </xf>
    <xf numFmtId="1" fontId="47" fillId="29" borderId="18" xfId="0" applyNumberFormat="1" applyFont="1" applyFill="1" applyBorder="1" applyAlignment="1" applyProtection="1">
      <alignment horizontal="center" vertical="center"/>
    </xf>
    <xf numFmtId="164" fontId="64" fillId="28" borderId="16" xfId="0" applyNumberFormat="1" applyFont="1" applyFill="1" applyBorder="1" applyProtection="1"/>
    <xf numFmtId="164" fontId="47" fillId="26" borderId="12" xfId="1" applyNumberFormat="1" applyFont="1" applyFill="1" applyBorder="1" applyAlignment="1" applyProtection="1">
      <alignment horizontal="left" vertical="center"/>
    </xf>
    <xf numFmtId="0" fontId="51" fillId="36" borderId="4" xfId="0" applyFont="1" applyFill="1" applyBorder="1" applyAlignment="1">
      <alignment horizontal="center" vertical="center"/>
    </xf>
    <xf numFmtId="0" fontId="56" fillId="36" borderId="4" xfId="0" applyFont="1" applyFill="1" applyBorder="1" applyAlignment="1" applyProtection="1">
      <alignment horizontal="center" vertical="center"/>
    </xf>
    <xf numFmtId="0" fontId="50" fillId="36" borderId="4" xfId="0" applyFont="1" applyFill="1" applyBorder="1" applyAlignment="1">
      <alignment horizontal="center" vertical="center"/>
    </xf>
    <xf numFmtId="0" fontId="51" fillId="36" borderId="4" xfId="0" applyFont="1" applyFill="1" applyBorder="1" applyAlignment="1" applyProtection="1">
      <alignment horizontal="center" vertical="center"/>
    </xf>
    <xf numFmtId="0" fontId="30" fillId="20" borderId="0" xfId="0" applyFont="1" applyFill="1" applyBorder="1" applyAlignment="1" applyProtection="1">
      <alignment horizontal="center" vertical="center"/>
    </xf>
    <xf numFmtId="0" fontId="31" fillId="20" borderId="0" xfId="0" applyFont="1" applyFill="1" applyBorder="1" applyAlignment="1" applyProtection="1">
      <alignment horizontal="center" vertical="center" wrapText="1"/>
    </xf>
    <xf numFmtId="0" fontId="38" fillId="20" borderId="0" xfId="0" applyFont="1" applyFill="1" applyBorder="1" applyAlignment="1" applyProtection="1">
      <alignment horizontal="center" vertical="center"/>
    </xf>
    <xf numFmtId="0" fontId="22" fillId="20" borderId="0" xfId="0" applyFont="1" applyFill="1" applyBorder="1" applyAlignment="1" applyProtection="1">
      <alignment horizontal="center" vertical="center"/>
      <protection locked="0"/>
    </xf>
    <xf numFmtId="0" fontId="45" fillId="20" borderId="4" xfId="0" applyFont="1" applyFill="1" applyBorder="1" applyProtection="1">
      <protection locked="0"/>
    </xf>
    <xf numFmtId="0" fontId="36" fillId="28" borderId="4" xfId="0" applyFont="1" applyFill="1" applyBorder="1" applyAlignment="1">
      <alignment horizontal="center" vertical="center"/>
    </xf>
    <xf numFmtId="0" fontId="23" fillId="14" borderId="18" xfId="0" applyFont="1" applyFill="1" applyBorder="1" applyAlignment="1" applyProtection="1">
      <alignment horizontal="center" vertical="center"/>
      <protection locked="0"/>
    </xf>
    <xf numFmtId="164" fontId="35" fillId="14" borderId="18" xfId="0" applyNumberFormat="1" applyFont="1" applyFill="1" applyBorder="1" applyAlignment="1" applyProtection="1">
      <alignment horizontal="center" vertical="center"/>
    </xf>
    <xf numFmtId="0" fontId="66" fillId="20" borderId="6" xfId="0" applyFont="1" applyFill="1" applyBorder="1" applyAlignment="1" applyProtection="1">
      <protection locked="0"/>
    </xf>
    <xf numFmtId="0" fontId="66" fillId="20" borderId="0" xfId="0" applyFont="1" applyFill="1" applyBorder="1" applyAlignment="1" applyProtection="1">
      <protection locked="0"/>
    </xf>
    <xf numFmtId="0" fontId="43" fillId="20" borderId="0" xfId="0" applyFont="1" applyFill="1" applyBorder="1" applyAlignment="1" applyProtection="1">
      <alignment vertical="center"/>
    </xf>
    <xf numFmtId="0" fontId="0" fillId="0" borderId="4" xfId="0" applyBorder="1" applyProtection="1">
      <protection locked="0"/>
    </xf>
    <xf numFmtId="0" fontId="0" fillId="0" borderId="4" xfId="0" applyBorder="1"/>
    <xf numFmtId="0" fontId="45" fillId="0" borderId="4" xfId="0" applyFont="1" applyBorder="1" applyAlignment="1" applyProtection="1">
      <alignment vertical="center" wrapText="1"/>
      <protection locked="0"/>
    </xf>
    <xf numFmtId="0" fontId="0" fillId="0" borderId="4" xfId="0" applyBorder="1" applyAlignment="1">
      <alignment wrapText="1"/>
    </xf>
    <xf numFmtId="166" fontId="24" fillId="0" borderId="4" xfId="0" applyNumberFormat="1" applyFont="1" applyBorder="1" applyAlignment="1" applyProtection="1">
      <alignment horizontal="center"/>
    </xf>
    <xf numFmtId="0" fontId="23" fillId="20" borderId="4" xfId="0" applyFont="1" applyFill="1" applyBorder="1" applyAlignment="1" applyProtection="1">
      <alignment horizontal="right"/>
    </xf>
    <xf numFmtId="14" fontId="69" fillId="30" borderId="0" xfId="0" applyNumberFormat="1" applyFont="1" applyFill="1" applyAlignment="1" applyProtection="1">
      <alignment horizontal="center"/>
      <protection locked="0"/>
    </xf>
    <xf numFmtId="0" fontId="4" fillId="30" borderId="4" xfId="0" applyFont="1" applyFill="1" applyBorder="1" applyAlignment="1" applyProtection="1">
      <alignment horizontal="right" vertical="center"/>
      <protection locked="0"/>
    </xf>
    <xf numFmtId="0" fontId="22" fillId="29" borderId="4" xfId="0" applyFont="1" applyFill="1" applyBorder="1" applyAlignment="1" applyProtection="1">
      <alignment horizontal="center" vertical="center"/>
    </xf>
    <xf numFmtId="0" fontId="66" fillId="20" borderId="5" xfId="0" applyFont="1" applyFill="1" applyBorder="1" applyAlignment="1" applyProtection="1">
      <protection locked="0"/>
    </xf>
    <xf numFmtId="0" fontId="23" fillId="20" borderId="4" xfId="0" applyFont="1" applyFill="1" applyBorder="1" applyAlignment="1" applyProtection="1">
      <alignment horizontal="left"/>
    </xf>
    <xf numFmtId="0" fontId="22" fillId="20" borderId="4" xfId="0" applyFont="1" applyFill="1" applyBorder="1" applyAlignment="1" applyProtection="1">
      <alignment horizontal="center" vertical="center"/>
    </xf>
    <xf numFmtId="0" fontId="22" fillId="20" borderId="4" xfId="0" applyFont="1" applyFill="1" applyBorder="1" applyAlignment="1" applyProtection="1">
      <alignment horizontal="right" vertical="center"/>
    </xf>
    <xf numFmtId="0" fontId="43" fillId="20" borderId="4" xfId="0" applyFont="1" applyFill="1" applyBorder="1" applyAlignment="1" applyProtection="1">
      <alignment horizontal="center" vertical="center"/>
    </xf>
    <xf numFmtId="0" fontId="63" fillId="20" borderId="4" xfId="0" applyFont="1" applyFill="1" applyBorder="1" applyAlignment="1" applyProtection="1">
      <alignment horizontal="center" vertical="center"/>
    </xf>
    <xf numFmtId="0" fontId="22" fillId="20" borderId="4" xfId="0" applyFont="1" applyFill="1" applyBorder="1" applyAlignment="1" applyProtection="1">
      <alignment vertical="center"/>
    </xf>
    <xf numFmtId="0" fontId="46" fillId="20" borderId="4" xfId="0" applyFont="1" applyFill="1" applyBorder="1" applyAlignment="1" applyProtection="1">
      <alignment horizontal="center" vertical="center"/>
    </xf>
    <xf numFmtId="166" fontId="31" fillId="20" borderId="5" xfId="0" applyNumberFormat="1" applyFont="1" applyFill="1" applyBorder="1" applyAlignment="1" applyProtection="1">
      <alignment horizontal="center"/>
    </xf>
    <xf numFmtId="0" fontId="22" fillId="20" borderId="5" xfId="0" applyFont="1" applyFill="1" applyBorder="1" applyAlignment="1" applyProtection="1">
      <alignment horizontal="right" vertical="center"/>
    </xf>
    <xf numFmtId="167" fontId="22" fillId="20" borderId="4" xfId="0" applyNumberFormat="1" applyFont="1" applyFill="1" applyBorder="1" applyAlignment="1" applyProtection="1">
      <alignment horizontal="center" vertical="center"/>
    </xf>
    <xf numFmtId="0" fontId="67" fillId="20" borderId="5" xfId="0" applyFont="1" applyFill="1" applyBorder="1" applyAlignment="1" applyProtection="1">
      <protection locked="0"/>
    </xf>
    <xf numFmtId="0" fontId="22" fillId="20" borderId="14" xfId="0" applyFont="1" applyFill="1" applyBorder="1" applyAlignment="1" applyProtection="1">
      <protection locked="0"/>
    </xf>
    <xf numFmtId="0" fontId="22" fillId="20" borderId="14" xfId="0" applyFont="1" applyFill="1" applyBorder="1" applyAlignment="1" applyProtection="1">
      <alignment horizontal="right"/>
    </xf>
    <xf numFmtId="0" fontId="22" fillId="20" borderId="14" xfId="0" applyFont="1" applyFill="1" applyBorder="1" applyAlignment="1" applyProtection="1">
      <alignment horizontal="left"/>
    </xf>
    <xf numFmtId="0" fontId="22" fillId="20" borderId="14" xfId="0" applyFont="1" applyFill="1" applyBorder="1" applyAlignment="1" applyProtection="1">
      <alignment horizontal="center" vertical="center"/>
    </xf>
    <xf numFmtId="0" fontId="22" fillId="20" borderId="14" xfId="0" applyFont="1" applyFill="1" applyBorder="1" applyAlignment="1" applyProtection="1">
      <alignment horizontal="right" vertical="center"/>
    </xf>
    <xf numFmtId="0" fontId="22" fillId="20" borderId="14" xfId="0" applyFont="1" applyFill="1" applyBorder="1" applyAlignment="1" applyProtection="1">
      <alignment vertical="center"/>
    </xf>
    <xf numFmtId="0" fontId="22" fillId="20" borderId="0" xfId="0" applyFont="1" applyFill="1" applyBorder="1" applyAlignment="1" applyProtection="1">
      <protection locked="0"/>
    </xf>
    <xf numFmtId="0" fontId="22" fillId="20" borderId="0" xfId="0" applyFont="1" applyFill="1" applyBorder="1" applyAlignment="1" applyProtection="1">
      <alignment horizontal="right"/>
    </xf>
    <xf numFmtId="0" fontId="22" fillId="20" borderId="0" xfId="0" applyFont="1" applyFill="1" applyBorder="1" applyAlignment="1" applyProtection="1">
      <alignment horizontal="left"/>
    </xf>
    <xf numFmtId="0" fontId="22" fillId="20" borderId="0" xfId="0" applyFont="1" applyFill="1" applyBorder="1" applyAlignment="1" applyProtection="1">
      <alignment horizontal="right" vertical="center"/>
    </xf>
    <xf numFmtId="0" fontId="22" fillId="20" borderId="0" xfId="0" applyFont="1" applyFill="1" applyBorder="1" applyAlignment="1" applyProtection="1">
      <alignment vertical="center"/>
    </xf>
    <xf numFmtId="0" fontId="22" fillId="20" borderId="0" xfId="0" applyFont="1" applyFill="1" applyBorder="1" applyAlignment="1" applyProtection="1">
      <alignment vertical="center"/>
      <protection locked="0"/>
    </xf>
    <xf numFmtId="0" fontId="22" fillId="20" borderId="0" xfId="0" applyFont="1" applyFill="1" applyBorder="1" applyAlignment="1" applyProtection="1">
      <alignment horizontal="left" vertical="center"/>
      <protection locked="0"/>
    </xf>
    <xf numFmtId="164" fontId="22" fillId="20" borderId="0" xfId="1" applyNumberFormat="1" applyFont="1" applyFill="1" applyBorder="1" applyAlignment="1" applyProtection="1">
      <alignment horizontal="center" vertical="center"/>
    </xf>
    <xf numFmtId="0" fontId="22" fillId="20" borderId="4" xfId="0" applyFont="1" applyFill="1" applyBorder="1" applyAlignment="1" applyProtection="1">
      <alignment horizontal="left" vertical="center"/>
      <protection locked="0"/>
    </xf>
    <xf numFmtId="0" fontId="22" fillId="20" borderId="0" xfId="0" applyFont="1" applyFill="1" applyBorder="1" applyAlignment="1" applyProtection="1">
      <alignment horizontal="center" vertical="center"/>
      <protection locked="0"/>
    </xf>
    <xf numFmtId="0" fontId="0" fillId="32" borderId="4" xfId="0" applyFill="1" applyBorder="1"/>
    <xf numFmtId="0" fontId="44" fillId="0" borderId="4" xfId="0" applyFont="1" applyBorder="1" applyProtection="1">
      <protection locked="0"/>
    </xf>
    <xf numFmtId="0" fontId="44" fillId="0" borderId="4" xfId="0" applyFont="1" applyBorder="1"/>
    <xf numFmtId="0" fontId="47" fillId="36" borderId="4" xfId="0" applyFont="1" applyFill="1" applyBorder="1" applyAlignment="1" applyProtection="1">
      <alignment vertical="center"/>
    </xf>
    <xf numFmtId="164" fontId="47" fillId="36" borderId="12" xfId="1" applyNumberFormat="1" applyFont="1" applyFill="1" applyBorder="1" applyAlignment="1" applyProtection="1">
      <alignment horizontal="center" vertical="center"/>
    </xf>
    <xf numFmtId="164" fontId="63" fillId="29" borderId="4" xfId="1" applyNumberFormat="1" applyFont="1" applyFill="1" applyBorder="1" applyAlignment="1" applyProtection="1">
      <alignment horizontal="left" vertical="center"/>
    </xf>
    <xf numFmtId="164" fontId="25" fillId="0" borderId="0" xfId="0" applyNumberFormat="1" applyFont="1" applyBorder="1" applyAlignment="1" applyProtection="1">
      <alignment horizontal="center" vertical="center"/>
      <protection locked="0"/>
    </xf>
    <xf numFmtId="3" fontId="23" fillId="20" borderId="0" xfId="0" applyNumberFormat="1" applyFont="1" applyFill="1" applyBorder="1" applyAlignment="1" applyProtection="1">
      <protection locked="0"/>
    </xf>
    <xf numFmtId="3" fontId="24" fillId="31" borderId="14" xfId="0" applyNumberFormat="1" applyFont="1" applyFill="1" applyBorder="1" applyAlignment="1" applyProtection="1">
      <alignment horizontal="center"/>
      <protection locked="0"/>
    </xf>
    <xf numFmtId="0" fontId="23" fillId="20" borderId="17" xfId="0" applyFont="1" applyFill="1" applyBorder="1" applyAlignment="1" applyProtection="1">
      <alignment horizontal="center" vertical="center"/>
      <protection locked="0"/>
    </xf>
    <xf numFmtId="1" fontId="25" fillId="20" borderId="17" xfId="0" applyNumberFormat="1" applyFont="1" applyFill="1" applyBorder="1" applyProtection="1">
      <protection locked="0"/>
    </xf>
    <xf numFmtId="0" fontId="24" fillId="20" borderId="0" xfId="0" applyFont="1" applyFill="1" applyBorder="1" applyAlignment="1" applyProtection="1">
      <alignment horizontal="center"/>
      <protection locked="0"/>
    </xf>
    <xf numFmtId="0" fontId="23" fillId="20" borderId="0" xfId="0" applyFont="1" applyFill="1" applyBorder="1" applyAlignment="1" applyProtection="1">
      <alignment horizontal="center" vertical="center"/>
      <protection locked="0"/>
    </xf>
    <xf numFmtId="0" fontId="22" fillId="30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23" fillId="20" borderId="0" xfId="0" applyFont="1" applyFill="1" applyBorder="1" applyAlignment="1" applyProtection="1">
      <alignment horizontal="center" vertical="center"/>
      <protection locked="0"/>
    </xf>
    <xf numFmtId="0" fontId="47" fillId="20" borderId="0" xfId="0" applyFont="1" applyFill="1" applyBorder="1" applyAlignment="1" applyProtection="1">
      <alignment horizontal="center" vertical="center"/>
      <protection locked="0"/>
    </xf>
    <xf numFmtId="164" fontId="47" fillId="20" borderId="0" xfId="0" applyNumberFormat="1" applyFont="1" applyFill="1" applyBorder="1" applyAlignment="1" applyProtection="1">
      <alignment vertical="center"/>
    </xf>
    <xf numFmtId="0" fontId="23" fillId="20" borderId="0" xfId="0" applyFont="1" applyFill="1" applyBorder="1" applyAlignment="1" applyProtection="1">
      <alignment horizontal="center" vertical="center" wrapText="1"/>
      <protection locked="0"/>
    </xf>
    <xf numFmtId="0" fontId="25" fillId="20" borderId="0" xfId="0" applyFont="1" applyFill="1" applyBorder="1" applyProtection="1">
      <protection locked="0"/>
    </xf>
    <xf numFmtId="164" fontId="47" fillId="33" borderId="18" xfId="0" applyNumberFormat="1" applyFont="1" applyFill="1" applyBorder="1" applyAlignment="1" applyProtection="1">
      <alignment vertical="center"/>
    </xf>
    <xf numFmtId="0" fontId="23" fillId="14" borderId="18" xfId="0" applyFont="1" applyFill="1" applyBorder="1" applyAlignment="1" applyProtection="1">
      <alignment horizontal="center" vertical="center" wrapText="1"/>
      <protection locked="0"/>
    </xf>
    <xf numFmtId="0" fontId="71" fillId="0" borderId="4" xfId="0" applyFont="1" applyBorder="1" applyProtection="1"/>
    <xf numFmtId="0" fontId="0" fillId="0" borderId="4" xfId="0" applyFont="1" applyBorder="1" applyProtection="1"/>
    <xf numFmtId="166" fontId="75" fillId="0" borderId="4" xfId="0" applyNumberFormat="1" applyFont="1" applyBorder="1" applyAlignment="1" applyProtection="1">
      <alignment horizontal="center"/>
    </xf>
    <xf numFmtId="0" fontId="0" fillId="0" borderId="4" xfId="0" applyFont="1" applyBorder="1" applyProtection="1">
      <protection locked="0"/>
    </xf>
    <xf numFmtId="0" fontId="0" fillId="0" borderId="4" xfId="0" applyFont="1" applyBorder="1"/>
    <xf numFmtId="0" fontId="71" fillId="9" borderId="4" xfId="0" applyFont="1" applyFill="1" applyBorder="1" applyAlignment="1" applyProtection="1">
      <alignment horizontal="center" vertical="center"/>
    </xf>
    <xf numFmtId="0" fontId="22" fillId="9" borderId="4" xfId="0" applyFont="1" applyFill="1" applyBorder="1" applyAlignment="1" applyProtection="1">
      <alignment horizontal="center" vertical="center"/>
    </xf>
    <xf numFmtId="0" fontId="22" fillId="28" borderId="4" xfId="0" applyFont="1" applyFill="1" applyBorder="1" applyAlignment="1" applyProtection="1">
      <alignment vertical="center"/>
    </xf>
    <xf numFmtId="0" fontId="70" fillId="20" borderId="4" xfId="0" applyFont="1" applyFill="1" applyBorder="1" applyAlignment="1" applyProtection="1">
      <alignment horizontal="right"/>
    </xf>
    <xf numFmtId="0" fontId="70" fillId="20" borderId="4" xfId="0" applyFont="1" applyFill="1" applyBorder="1" applyAlignment="1" applyProtection="1">
      <alignment horizontal="left"/>
    </xf>
    <xf numFmtId="0" fontId="71" fillId="20" borderId="4" xfId="0" applyFont="1" applyFill="1" applyBorder="1" applyAlignment="1" applyProtection="1">
      <alignment horizontal="center" vertical="center"/>
    </xf>
    <xf numFmtId="0" fontId="71" fillId="20" borderId="4" xfId="0" applyFont="1" applyFill="1" applyBorder="1" applyAlignment="1" applyProtection="1">
      <alignment vertical="center"/>
    </xf>
    <xf numFmtId="0" fontId="71" fillId="20" borderId="4" xfId="0" applyFont="1" applyFill="1" applyBorder="1" applyAlignment="1" applyProtection="1">
      <alignment horizontal="left" vertical="center"/>
      <protection locked="0"/>
    </xf>
    <xf numFmtId="0" fontId="72" fillId="20" borderId="4" xfId="0" applyFont="1" applyFill="1" applyBorder="1" applyAlignment="1" applyProtection="1">
      <alignment horizontal="center" vertical="center"/>
    </xf>
    <xf numFmtId="0" fontId="70" fillId="20" borderId="4" xfId="0" applyFont="1" applyFill="1" applyBorder="1" applyAlignment="1" applyProtection="1">
      <alignment horizontal="center" vertical="center"/>
      <protection locked="0"/>
    </xf>
    <xf numFmtId="0" fontId="71" fillId="24" borderId="4" xfId="0" applyFont="1" applyFill="1" applyBorder="1" applyProtection="1"/>
    <xf numFmtId="0" fontId="0" fillId="24" borderId="4" xfId="0" applyFont="1" applyFill="1" applyBorder="1" applyProtection="1">
      <protection locked="0"/>
    </xf>
    <xf numFmtId="0" fontId="0" fillId="24" borderId="4" xfId="0" applyFont="1" applyFill="1" applyBorder="1"/>
    <xf numFmtId="0" fontId="76" fillId="20" borderId="6" xfId="0" applyFont="1" applyFill="1" applyBorder="1" applyAlignment="1" applyProtection="1">
      <protection locked="0"/>
    </xf>
    <xf numFmtId="0" fontId="66" fillId="14" borderId="5" xfId="0" applyFont="1" applyFill="1" applyBorder="1" applyAlignment="1" applyProtection="1">
      <protection locked="0"/>
    </xf>
    <xf numFmtId="0" fontId="66" fillId="26" borderId="5" xfId="0" applyFont="1" applyFill="1" applyBorder="1" applyAlignment="1" applyProtection="1">
      <protection locked="0"/>
    </xf>
    <xf numFmtId="0" fontId="24" fillId="20" borderId="0" xfId="0" applyFont="1" applyFill="1" applyBorder="1" applyAlignment="1" applyProtection="1">
      <alignment horizontal="center"/>
      <protection locked="0"/>
    </xf>
    <xf numFmtId="0" fontId="23" fillId="20" borderId="0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 vertical="center"/>
    </xf>
    <xf numFmtId="0" fontId="5" fillId="0" borderId="4" xfId="0" applyFont="1" applyBorder="1" applyAlignment="1">
      <alignment horizontal="right" vertical="center"/>
    </xf>
    <xf numFmtId="3" fontId="5" fillId="0" borderId="4" xfId="0" applyNumberFormat="1" applyFont="1" applyBorder="1" applyAlignment="1">
      <alignment horizontal="center" vertical="center"/>
    </xf>
    <xf numFmtId="0" fontId="46" fillId="2" borderId="4" xfId="0" applyFont="1" applyFill="1" applyBorder="1" applyAlignment="1" applyProtection="1">
      <alignment horizontal="center"/>
      <protection locked="0"/>
    </xf>
    <xf numFmtId="0" fontId="0" fillId="38" borderId="0" xfId="0" applyFill="1"/>
    <xf numFmtId="0" fontId="24" fillId="20" borderId="0" xfId="0" applyFont="1" applyFill="1" applyBorder="1" applyAlignment="1" applyProtection="1">
      <alignment horizontal="center"/>
      <protection locked="0"/>
    </xf>
    <xf numFmtId="0" fontId="23" fillId="20" borderId="0" xfId="0" applyFont="1" applyFill="1" applyBorder="1" applyAlignment="1" applyProtection="1">
      <alignment horizontal="center"/>
      <protection locked="0"/>
    </xf>
    <xf numFmtId="0" fontId="23" fillId="20" borderId="0" xfId="0" applyFont="1" applyFill="1" applyBorder="1" applyAlignment="1" applyProtection="1">
      <alignment horizontal="center" vertical="center"/>
      <protection locked="0"/>
    </xf>
    <xf numFmtId="0" fontId="64" fillId="14" borderId="4" xfId="0" applyFont="1" applyFill="1" applyBorder="1" applyAlignment="1" applyProtection="1">
      <alignment horizontal="center" vertical="center"/>
      <protection locked="0"/>
    </xf>
    <xf numFmtId="0" fontId="8" fillId="14" borderId="4" xfId="0" applyFont="1" applyFill="1" applyBorder="1" applyAlignment="1" applyProtection="1">
      <alignment horizontal="center" vertical="center" wrapText="1"/>
    </xf>
    <xf numFmtId="0" fontId="43" fillId="14" borderId="5" xfId="0" applyFont="1" applyFill="1" applyBorder="1" applyAlignment="1" applyProtection="1">
      <alignment vertical="center"/>
      <protection locked="0"/>
    </xf>
    <xf numFmtId="0" fontId="43" fillId="14" borderId="12" xfId="0" applyFont="1" applyFill="1" applyBorder="1" applyAlignment="1" applyProtection="1">
      <alignment vertical="center"/>
      <protection locked="0"/>
    </xf>
    <xf numFmtId="0" fontId="43" fillId="14" borderId="4" xfId="0" applyFont="1" applyFill="1" applyBorder="1" applyAlignment="1" applyProtection="1">
      <alignment horizontal="center" vertical="center"/>
      <protection locked="0"/>
    </xf>
    <xf numFmtId="0" fontId="43" fillId="14" borderId="4" xfId="0" applyFont="1" applyFill="1" applyBorder="1" applyAlignment="1" applyProtection="1">
      <alignment horizontal="center" vertical="center"/>
    </xf>
    <xf numFmtId="0" fontId="38" fillId="14" borderId="4" xfId="0" applyFont="1" applyFill="1" applyBorder="1" applyAlignment="1" applyProtection="1">
      <alignment horizontal="center" vertical="center" wrapText="1"/>
    </xf>
    <xf numFmtId="0" fontId="22" fillId="14" borderId="4" xfId="0" applyFont="1" applyFill="1" applyBorder="1" applyAlignment="1" applyProtection="1">
      <alignment horizontal="center" vertical="center" wrapText="1"/>
      <protection locked="0"/>
    </xf>
    <xf numFmtId="0" fontId="23" fillId="14" borderId="5" xfId="0" applyFont="1" applyFill="1" applyBorder="1" applyAlignment="1" applyProtection="1">
      <alignment horizontal="center" vertical="center" wrapText="1"/>
      <protection locked="0"/>
    </xf>
    <xf numFmtId="0" fontId="22" fillId="14" borderId="4" xfId="0" applyFont="1" applyFill="1" applyBorder="1" applyAlignment="1" applyProtection="1">
      <alignment horizontal="center" vertical="center"/>
    </xf>
    <xf numFmtId="0" fontId="77" fillId="32" borderId="0" xfId="0" applyFont="1" applyFill="1" applyBorder="1" applyAlignment="1" applyProtection="1">
      <alignment horizontal="center" vertic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164" fontId="47" fillId="0" borderId="16" xfId="0" applyNumberFormat="1" applyFont="1" applyBorder="1" applyAlignment="1" applyProtection="1">
      <alignment horizontal="center"/>
    </xf>
    <xf numFmtId="0" fontId="45" fillId="0" borderId="4" xfId="0" applyFont="1" applyBorder="1" applyAlignment="1">
      <alignment horizontal="right" vertical="center"/>
    </xf>
    <xf numFmtId="0" fontId="47" fillId="20" borderId="0" xfId="0" applyFont="1" applyFill="1" applyBorder="1" applyAlignment="1" applyProtection="1">
      <alignment horizontal="center"/>
      <protection locked="0"/>
    </xf>
    <xf numFmtId="164" fontId="47" fillId="20" borderId="0" xfId="1" applyNumberFormat="1" applyFont="1" applyFill="1" applyBorder="1" applyAlignment="1" applyProtection="1">
      <alignment horizontal="left" vertical="center"/>
      <protection locked="0"/>
    </xf>
    <xf numFmtId="0" fontId="66" fillId="29" borderId="5" xfId="0" applyFont="1" applyFill="1" applyBorder="1" applyAlignment="1" applyProtection="1">
      <protection locked="0"/>
    </xf>
    <xf numFmtId="0" fontId="63" fillId="14" borderId="19" xfId="0" applyFont="1" applyFill="1" applyBorder="1" applyAlignment="1" applyProtection="1">
      <alignment horizontal="center" vertical="center"/>
    </xf>
    <xf numFmtId="0" fontId="22" fillId="30" borderId="12" xfId="0" applyFont="1" applyFill="1" applyBorder="1" applyAlignment="1" applyProtection="1">
      <alignment horizontal="center" vertical="center" wrapText="1"/>
    </xf>
    <xf numFmtId="0" fontId="31" fillId="14" borderId="12" xfId="0" applyFont="1" applyFill="1" applyBorder="1" applyAlignment="1" applyProtection="1">
      <alignment horizontal="center" vertical="center"/>
      <protection locked="0"/>
    </xf>
    <xf numFmtId="0" fontId="22" fillId="0" borderId="12" xfId="0" applyFont="1" applyBorder="1" applyAlignment="1" applyProtection="1">
      <alignment horizontal="center" vertical="center"/>
    </xf>
    <xf numFmtId="0" fontId="22" fillId="25" borderId="0" xfId="0" applyFont="1" applyFill="1" applyBorder="1" applyAlignment="1" applyProtection="1">
      <alignment horizontal="center" vertical="center" wrapText="1"/>
    </xf>
    <xf numFmtId="0" fontId="22" fillId="25" borderId="0" xfId="0" applyFont="1" applyFill="1" applyBorder="1" applyAlignment="1" applyProtection="1">
      <alignment horizontal="center" vertical="center"/>
      <protection locked="0"/>
    </xf>
    <xf numFmtId="0" fontId="22" fillId="25" borderId="0" xfId="0" applyFont="1" applyFill="1" applyBorder="1" applyAlignment="1" applyProtection="1">
      <alignment horizontal="center" vertical="center"/>
    </xf>
    <xf numFmtId="0" fontId="38" fillId="25" borderId="0" xfId="0" applyFont="1" applyFill="1" applyBorder="1" applyAlignment="1" applyProtection="1">
      <alignment horizontal="center" vertical="center" wrapText="1"/>
    </xf>
    <xf numFmtId="0" fontId="22" fillId="25" borderId="0" xfId="0" applyFont="1" applyFill="1" applyBorder="1" applyAlignment="1" applyProtection="1">
      <alignment horizontal="center" vertical="center" wrapText="1"/>
      <protection locked="0"/>
    </xf>
    <xf numFmtId="0" fontId="8" fillId="25" borderId="15" xfId="0" applyFont="1" applyFill="1" applyBorder="1" applyAlignment="1" applyProtection="1">
      <alignment horizontal="center" vertical="center"/>
      <protection locked="0"/>
    </xf>
    <xf numFmtId="14" fontId="30" fillId="30" borderId="13" xfId="0" applyNumberFormat="1" applyFont="1" applyFill="1" applyBorder="1" applyAlignment="1" applyProtection="1">
      <alignment horizontal="center"/>
      <protection locked="0"/>
    </xf>
    <xf numFmtId="0" fontId="5" fillId="25" borderId="13" xfId="0" applyFont="1" applyFill="1" applyBorder="1" applyProtection="1">
      <protection locked="0"/>
    </xf>
    <xf numFmtId="0" fontId="31" fillId="25" borderId="13" xfId="0" applyFont="1" applyFill="1" applyBorder="1" applyAlignment="1" applyProtection="1">
      <alignment horizontal="center"/>
      <protection locked="0"/>
    </xf>
    <xf numFmtId="0" fontId="31" fillId="30" borderId="13" xfId="0" applyFont="1" applyFill="1" applyBorder="1" applyAlignment="1" applyProtection="1">
      <alignment horizontal="right" vertical="center"/>
      <protection locked="0"/>
    </xf>
    <xf numFmtId="0" fontId="62" fillId="30" borderId="13" xfId="0" applyFont="1" applyFill="1" applyBorder="1" applyAlignment="1" applyProtection="1">
      <alignment horizontal="center" vertical="center"/>
      <protection locked="0"/>
    </xf>
    <xf numFmtId="0" fontId="29" fillId="25" borderId="29" xfId="0" applyFont="1" applyFill="1" applyBorder="1" applyProtection="1">
      <protection locked="0"/>
    </xf>
    <xf numFmtId="0" fontId="78" fillId="0" borderId="0" xfId="0" applyFont="1"/>
    <xf numFmtId="0" fontId="28" fillId="0" borderId="4" xfId="0" applyFont="1" applyBorder="1" applyAlignment="1" applyProtection="1">
      <alignment vertical="center"/>
      <protection locked="0"/>
    </xf>
    <xf numFmtId="166" fontId="24" fillId="20" borderId="4" xfId="0" applyNumberFormat="1" applyFont="1" applyFill="1" applyBorder="1" applyAlignment="1" applyProtection="1">
      <alignment horizontal="center"/>
    </xf>
    <xf numFmtId="0" fontId="23" fillId="20" borderId="0" xfId="0" applyFont="1" applyFill="1" applyBorder="1" applyAlignment="1" applyProtection="1">
      <alignment horizontal="center" vertical="center"/>
      <protection locked="0"/>
    </xf>
    <xf numFmtId="0" fontId="23" fillId="14" borderId="14" xfId="0" applyFont="1" applyFill="1" applyBorder="1" applyAlignment="1" applyProtection="1">
      <alignment horizontal="center" vertical="center"/>
      <protection locked="0"/>
    </xf>
    <xf numFmtId="164" fontId="35" fillId="20" borderId="0" xfId="0" applyNumberFormat="1" applyFont="1" applyFill="1" applyBorder="1" applyAlignment="1" applyProtection="1">
      <alignment horizontal="center" vertical="center"/>
    </xf>
    <xf numFmtId="0" fontId="22" fillId="32" borderId="4" xfId="0" applyFont="1" applyFill="1" applyBorder="1" applyAlignment="1" applyProtection="1">
      <alignment horizontal="center" vertical="center"/>
    </xf>
    <xf numFmtId="0" fontId="79" fillId="36" borderId="0" xfId="0" applyFont="1" applyFill="1" applyAlignment="1" applyProtection="1">
      <alignment horizontal="right" vertical="top"/>
      <protection locked="0"/>
    </xf>
    <xf numFmtId="0" fontId="79" fillId="14" borderId="0" xfId="0" applyFont="1" applyFill="1" applyAlignment="1" applyProtection="1">
      <alignment horizontal="right" vertical="top"/>
      <protection locked="0"/>
    </xf>
    <xf numFmtId="0" fontId="79" fillId="29" borderId="0" xfId="0" applyFont="1" applyFill="1" applyAlignment="1" applyProtection="1">
      <alignment horizontal="right" vertical="top"/>
      <protection locked="0"/>
    </xf>
    <xf numFmtId="0" fontId="79" fillId="25" borderId="0" xfId="0" applyFont="1" applyFill="1" applyAlignment="1" applyProtection="1">
      <alignment horizontal="right" vertical="top"/>
      <protection locked="0"/>
    </xf>
    <xf numFmtId="0" fontId="11" fillId="25" borderId="0" xfId="0" applyFont="1" applyFill="1" applyAlignment="1" applyProtection="1">
      <alignment horizontal="right" vertical="top"/>
      <protection locked="0"/>
    </xf>
    <xf numFmtId="0" fontId="79" fillId="39" borderId="0" xfId="0" applyFont="1" applyFill="1" applyAlignment="1" applyProtection="1">
      <alignment horizontal="right" vertical="top"/>
      <protection locked="0"/>
    </xf>
    <xf numFmtId="0" fontId="22" fillId="20" borderId="17" xfId="0" applyFont="1" applyFill="1" applyBorder="1" applyAlignment="1" applyProtection="1">
      <alignment horizontal="center" vertical="center"/>
      <protection locked="0"/>
    </xf>
    <xf numFmtId="0" fontId="23" fillId="29" borderId="4" xfId="0" applyFont="1" applyFill="1" applyBorder="1" applyAlignment="1" applyProtection="1">
      <alignment horizontal="right"/>
    </xf>
    <xf numFmtId="0" fontId="23" fillId="29" borderId="4" xfId="0" applyFont="1" applyFill="1" applyBorder="1" applyAlignment="1" applyProtection="1">
      <alignment horizontal="left"/>
    </xf>
    <xf numFmtId="0" fontId="22" fillId="29" borderId="4" xfId="0" applyFont="1" applyFill="1" applyBorder="1" applyAlignment="1" applyProtection="1">
      <alignment horizontal="right" vertical="center"/>
    </xf>
    <xf numFmtId="0" fontId="22" fillId="29" borderId="4" xfId="0" applyFont="1" applyFill="1" applyBorder="1" applyAlignment="1" applyProtection="1">
      <alignment vertical="center"/>
    </xf>
    <xf numFmtId="0" fontId="22" fillId="29" borderId="4" xfId="0" applyFont="1" applyFill="1" applyBorder="1" applyAlignment="1" applyProtection="1">
      <alignment horizontal="left" vertical="center"/>
      <protection locked="0"/>
    </xf>
    <xf numFmtId="0" fontId="63" fillId="29" borderId="4" xfId="0" applyFont="1" applyFill="1" applyBorder="1" applyAlignment="1" applyProtection="1">
      <alignment horizontal="center" vertical="center"/>
    </xf>
    <xf numFmtId="0" fontId="43" fillId="29" borderId="4" xfId="0" applyFont="1" applyFill="1" applyBorder="1" applyAlignment="1" applyProtection="1">
      <alignment horizontal="center" vertical="center"/>
    </xf>
    <xf numFmtId="0" fontId="46" fillId="29" borderId="4" xfId="0" applyFont="1" applyFill="1" applyBorder="1" applyAlignment="1" applyProtection="1">
      <alignment horizontal="center" vertical="center"/>
    </xf>
    <xf numFmtId="0" fontId="23" fillId="29" borderId="4" xfId="0" applyFont="1" applyFill="1" applyBorder="1" applyAlignment="1" applyProtection="1">
      <alignment horizontal="center" vertical="center"/>
      <protection locked="0"/>
    </xf>
    <xf numFmtId="0" fontId="22" fillId="29" borderId="4" xfId="0" applyFont="1" applyFill="1" applyBorder="1" applyProtection="1"/>
    <xf numFmtId="0" fontId="0" fillId="29" borderId="4" xfId="0" applyFill="1" applyBorder="1" applyProtection="1">
      <protection locked="0"/>
    </xf>
    <xf numFmtId="0" fontId="0" fillId="29" borderId="4" xfId="0" applyFill="1" applyBorder="1"/>
    <xf numFmtId="0" fontId="79" fillId="28" borderId="0" xfId="0" applyFont="1" applyFill="1" applyAlignment="1" applyProtection="1">
      <alignment horizontal="right" vertical="top"/>
      <protection locked="0"/>
    </xf>
    <xf numFmtId="0" fontId="66" fillId="28" borderId="5" xfId="0" applyFont="1" applyFill="1" applyBorder="1" applyAlignment="1" applyProtection="1">
      <protection locked="0"/>
    </xf>
    <xf numFmtId="0" fontId="23" fillId="28" borderId="4" xfId="0" applyFont="1" applyFill="1" applyBorder="1" applyAlignment="1" applyProtection="1">
      <alignment horizontal="right"/>
    </xf>
    <xf numFmtId="0" fontId="23" fillId="28" borderId="4" xfId="0" applyFont="1" applyFill="1" applyBorder="1" applyAlignment="1" applyProtection="1">
      <alignment horizontal="left"/>
    </xf>
    <xf numFmtId="0" fontId="22" fillId="28" borderId="4" xfId="0" applyFont="1" applyFill="1" applyBorder="1" applyAlignment="1" applyProtection="1">
      <alignment horizontal="center" vertical="center"/>
    </xf>
    <xf numFmtId="0" fontId="22" fillId="28" borderId="4" xfId="0" applyFont="1" applyFill="1" applyBorder="1" applyAlignment="1" applyProtection="1">
      <alignment horizontal="right" vertical="center"/>
    </xf>
    <xf numFmtId="0" fontId="22" fillId="28" borderId="4" xfId="0" applyFont="1" applyFill="1" applyBorder="1" applyAlignment="1" applyProtection="1">
      <alignment horizontal="left" vertical="center"/>
      <protection locked="0"/>
    </xf>
    <xf numFmtId="0" fontId="63" fillId="28" borderId="4" xfId="0" applyFont="1" applyFill="1" applyBorder="1" applyAlignment="1" applyProtection="1">
      <alignment horizontal="center" vertical="center"/>
    </xf>
    <xf numFmtId="0" fontId="46" fillId="28" borderId="4" xfId="0" applyFont="1" applyFill="1" applyBorder="1" applyAlignment="1" applyProtection="1">
      <alignment horizontal="center" vertical="center"/>
    </xf>
    <xf numFmtId="0" fontId="23" fillId="28" borderId="4" xfId="0" applyFont="1" applyFill="1" applyBorder="1" applyAlignment="1" applyProtection="1">
      <alignment horizontal="center" vertical="center"/>
      <protection locked="0"/>
    </xf>
    <xf numFmtId="0" fontId="22" fillId="28" borderId="4" xfId="0" applyFont="1" applyFill="1" applyBorder="1" applyProtection="1"/>
    <xf numFmtId="0" fontId="0" fillId="28" borderId="4" xfId="0" applyFill="1" applyBorder="1" applyProtection="1">
      <protection locked="0"/>
    </xf>
    <xf numFmtId="0" fontId="0" fillId="28" borderId="4" xfId="0" applyFill="1" applyBorder="1"/>
    <xf numFmtId="0" fontId="66" fillId="36" borderId="5" xfId="0" applyFont="1" applyFill="1" applyBorder="1" applyAlignment="1" applyProtection="1">
      <protection locked="0"/>
    </xf>
    <xf numFmtId="0" fontId="22" fillId="36" borderId="4" xfId="0" applyFont="1" applyFill="1" applyBorder="1" applyAlignment="1" applyProtection="1">
      <alignment horizontal="center" vertical="center"/>
    </xf>
    <xf numFmtId="0" fontId="22" fillId="36" borderId="4" xfId="0" applyFont="1" applyFill="1" applyBorder="1" applyAlignment="1" applyProtection="1">
      <alignment vertical="center"/>
    </xf>
    <xf numFmtId="0" fontId="24" fillId="20" borderId="0" xfId="0" applyFont="1" applyFill="1" applyBorder="1" applyAlignment="1" applyProtection="1">
      <alignment horizontal="center"/>
      <protection locked="0"/>
    </xf>
    <xf numFmtId="0" fontId="23" fillId="20" borderId="0" xfId="0" applyFont="1" applyFill="1" applyBorder="1" applyAlignment="1" applyProtection="1">
      <alignment horizontal="center"/>
      <protection locked="0"/>
    </xf>
    <xf numFmtId="0" fontId="66" fillId="32" borderId="5" xfId="0" applyFont="1" applyFill="1" applyBorder="1" applyAlignment="1" applyProtection="1">
      <alignment horizontal="left" vertical="center"/>
      <protection locked="0"/>
    </xf>
    <xf numFmtId="0" fontId="36" fillId="20" borderId="4" xfId="0" applyFont="1" applyFill="1" applyBorder="1" applyAlignment="1" applyProtection="1">
      <alignment horizontal="center" vertical="center"/>
    </xf>
    <xf numFmtId="2" fontId="36" fillId="20" borderId="4" xfId="0" applyNumberFormat="1" applyFont="1" applyFill="1" applyBorder="1" applyAlignment="1" applyProtection="1">
      <alignment horizontal="center" vertical="center"/>
    </xf>
    <xf numFmtId="0" fontId="39" fillId="20" borderId="4" xfId="0" applyFont="1" applyFill="1" applyBorder="1" applyAlignment="1" applyProtection="1">
      <alignment horizontal="center" vertical="center"/>
    </xf>
    <xf numFmtId="1" fontId="36" fillId="20" borderId="4" xfId="0" applyNumberFormat="1" applyFont="1" applyFill="1" applyBorder="1" applyAlignment="1" applyProtection="1">
      <alignment horizontal="center" vertical="center"/>
    </xf>
    <xf numFmtId="166" fontId="36" fillId="20" borderId="4" xfId="0" applyNumberFormat="1" applyFont="1" applyFill="1" applyBorder="1" applyAlignment="1" applyProtection="1">
      <alignment horizontal="center" vertical="center"/>
    </xf>
    <xf numFmtId="0" fontId="39" fillId="36" borderId="4" xfId="0" applyFont="1" applyFill="1" applyBorder="1" applyAlignment="1" applyProtection="1">
      <alignment horizontal="center" vertical="center"/>
    </xf>
    <xf numFmtId="0" fontId="36" fillId="25" borderId="4" xfId="0" applyFont="1" applyFill="1" applyBorder="1" applyAlignment="1">
      <alignment horizontal="center" vertical="center" wrapText="1"/>
    </xf>
    <xf numFmtId="0" fontId="36" fillId="20" borderId="4" xfId="0" applyFont="1" applyFill="1" applyBorder="1" applyAlignment="1">
      <alignment horizontal="center" vertical="center" wrapText="1"/>
    </xf>
    <xf numFmtId="0" fontId="36" fillId="20" borderId="4" xfId="0" applyFont="1" applyFill="1" applyBorder="1" applyAlignment="1" applyProtection="1">
      <alignment vertical="center"/>
    </xf>
    <xf numFmtId="0" fontId="39" fillId="20" borderId="4" xfId="0" applyFont="1" applyFill="1" applyBorder="1" applyAlignment="1" applyProtection="1">
      <alignment vertical="center"/>
    </xf>
    <xf numFmtId="0" fontId="36" fillId="0" borderId="4" xfId="0" applyFont="1" applyBorder="1" applyAlignment="1">
      <alignment horizontal="center" vertical="center"/>
    </xf>
    <xf numFmtId="0" fontId="36" fillId="20" borderId="4" xfId="0" applyFont="1" applyFill="1" applyBorder="1" applyAlignment="1">
      <alignment horizontal="center"/>
    </xf>
    <xf numFmtId="0" fontId="36" fillId="20" borderId="4" xfId="0" applyFont="1" applyFill="1" applyBorder="1" applyAlignment="1" applyProtection="1">
      <alignment horizontal="center"/>
    </xf>
    <xf numFmtId="0" fontId="39" fillId="20" borderId="4" xfId="0" applyFont="1" applyFill="1" applyBorder="1" applyAlignment="1" applyProtection="1">
      <alignment horizontal="center"/>
    </xf>
    <xf numFmtId="0" fontId="36" fillId="0" borderId="0" xfId="0" applyFont="1" applyBorder="1" applyProtection="1">
      <protection locked="0"/>
    </xf>
    <xf numFmtId="0" fontId="44" fillId="0" borderId="0" xfId="0" applyFont="1"/>
    <xf numFmtId="0" fontId="36" fillId="0" borderId="15" xfId="0" applyFont="1" applyBorder="1" applyProtection="1">
      <protection locked="0"/>
    </xf>
    <xf numFmtId="1" fontId="36" fillId="20" borderId="17" xfId="0" applyNumberFormat="1" applyFont="1" applyFill="1" applyBorder="1" applyProtection="1">
      <protection locked="0"/>
    </xf>
    <xf numFmtId="0" fontId="36" fillId="0" borderId="15" xfId="0" applyFont="1" applyBorder="1" applyAlignment="1" applyProtection="1">
      <alignment horizontal="center"/>
      <protection locked="0"/>
    </xf>
    <xf numFmtId="0" fontId="36" fillId="20" borderId="0" xfId="0" applyFont="1" applyFill="1" applyBorder="1" applyProtection="1">
      <protection locked="0"/>
    </xf>
    <xf numFmtId="164" fontId="36" fillId="20" borderId="0" xfId="0" applyNumberFormat="1" applyFont="1" applyFill="1" applyBorder="1" applyAlignment="1" applyProtection="1">
      <alignment horizontal="center" vertical="center"/>
      <protection locked="0"/>
    </xf>
    <xf numFmtId="0" fontId="44" fillId="0" borderId="4" xfId="0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46" fillId="29" borderId="4" xfId="0" applyFont="1" applyFill="1" applyBorder="1" applyAlignment="1" applyProtection="1">
      <alignment horizontal="center"/>
      <protection locked="0"/>
    </xf>
    <xf numFmtId="0" fontId="24" fillId="14" borderId="4" xfId="0" applyFont="1" applyFill="1" applyBorder="1" applyAlignment="1" applyProtection="1">
      <alignment horizontal="center"/>
      <protection locked="0"/>
    </xf>
    <xf numFmtId="164" fontId="24" fillId="20" borderId="4" xfId="0" applyNumberFormat="1" applyFont="1" applyFill="1" applyBorder="1" applyAlignment="1" applyProtection="1">
      <alignment horizontal="center" vertical="center"/>
      <protection locked="0"/>
    </xf>
    <xf numFmtId="0" fontId="37" fillId="32" borderId="4" xfId="0" applyFont="1" applyFill="1" applyBorder="1" applyAlignment="1" applyProtection="1">
      <alignment horizontal="center" vertical="center" wrapText="1"/>
    </xf>
    <xf numFmtId="0" fontId="80" fillId="20" borderId="4" xfId="0" applyFont="1" applyFill="1" applyBorder="1" applyAlignment="1" applyProtection="1">
      <alignment horizontal="center" vertical="center" wrapText="1"/>
    </xf>
    <xf numFmtId="0" fontId="37" fillId="20" borderId="4" xfId="0" applyFont="1" applyFill="1" applyBorder="1" applyAlignment="1" applyProtection="1">
      <alignment horizontal="center" vertical="center"/>
    </xf>
    <xf numFmtId="0" fontId="36" fillId="36" borderId="4" xfId="0" applyFont="1" applyFill="1" applyBorder="1" applyAlignment="1" applyProtection="1">
      <alignment horizontal="center" vertical="center"/>
    </xf>
    <xf numFmtId="0" fontId="36" fillId="0" borderId="4" xfId="0" applyFont="1" applyBorder="1" applyAlignment="1" applyProtection="1">
      <alignment horizontal="center" vertical="center"/>
    </xf>
    <xf numFmtId="164" fontId="47" fillId="28" borderId="0" xfId="1" applyNumberFormat="1" applyFont="1" applyFill="1" applyBorder="1" applyAlignment="1" applyProtection="1">
      <alignment horizontal="left" vertical="center"/>
    </xf>
    <xf numFmtId="3" fontId="36" fillId="14" borderId="4" xfId="0" applyNumberFormat="1" applyFont="1" applyFill="1" applyBorder="1" applyAlignment="1">
      <alignment horizontal="center" vertical="center"/>
    </xf>
    <xf numFmtId="3" fontId="44" fillId="30" borderId="4" xfId="0" applyNumberFormat="1" applyFont="1" applyFill="1" applyBorder="1" applyAlignment="1">
      <alignment horizontal="center" vertical="center"/>
    </xf>
    <xf numFmtId="3" fontId="44" fillId="29" borderId="4" xfId="0" applyNumberFormat="1" applyFont="1" applyFill="1" applyBorder="1" applyAlignment="1">
      <alignment horizontal="center" vertical="center"/>
    </xf>
    <xf numFmtId="3" fontId="36" fillId="40" borderId="4" xfId="0" applyNumberFormat="1" applyFont="1" applyFill="1" applyBorder="1" applyAlignment="1">
      <alignment horizontal="center" vertical="center"/>
    </xf>
    <xf numFmtId="170" fontId="81" fillId="14" borderId="0" xfId="0" applyNumberFormat="1" applyFont="1" applyFill="1" applyAlignment="1">
      <alignment horizontal="center" vertical="center"/>
    </xf>
    <xf numFmtId="0" fontId="44" fillId="0" borderId="4" xfId="0" applyFont="1" applyBorder="1" applyAlignment="1">
      <alignment horizontal="center" vertical="center"/>
    </xf>
    <xf numFmtId="0" fontId="81" fillId="30" borderId="31" xfId="0" applyFont="1" applyFill="1" applyBorder="1" applyAlignment="1">
      <alignment vertical="center"/>
    </xf>
    <xf numFmtId="0" fontId="44" fillId="0" borderId="4" xfId="0" applyFont="1" applyBorder="1" applyAlignment="1">
      <alignment horizontal="center"/>
    </xf>
    <xf numFmtId="0" fontId="44" fillId="30" borderId="4" xfId="0" applyFont="1" applyFill="1" applyBorder="1" applyAlignment="1">
      <alignment horizontal="center" vertical="center"/>
    </xf>
    <xf numFmtId="0" fontId="25" fillId="14" borderId="0" xfId="0" applyFont="1" applyFill="1" applyAlignment="1">
      <alignment horizontal="center" vertical="center"/>
    </xf>
    <xf numFmtId="0" fontId="45" fillId="14" borderId="0" xfId="0" applyFont="1" applyFill="1" applyAlignment="1">
      <alignment horizontal="center" vertical="center"/>
    </xf>
    <xf numFmtId="0" fontId="22" fillId="20" borderId="4" xfId="0" applyFont="1" applyFill="1" applyBorder="1" applyProtection="1"/>
    <xf numFmtId="0" fontId="0" fillId="20" borderId="4" xfId="0" applyFill="1" applyBorder="1" applyProtection="1">
      <protection locked="0"/>
    </xf>
    <xf numFmtId="0" fontId="0" fillId="20" borderId="0" xfId="0" applyFill="1" applyAlignment="1">
      <alignment horizontal="center"/>
    </xf>
    <xf numFmtId="0" fontId="0" fillId="20" borderId="0" xfId="0" applyFill="1"/>
    <xf numFmtId="0" fontId="71" fillId="20" borderId="4" xfId="0" applyFont="1" applyFill="1" applyBorder="1" applyAlignment="1" applyProtection="1">
      <alignment horizontal="right" vertical="center"/>
    </xf>
    <xf numFmtId="0" fontId="73" fillId="20" borderId="4" xfId="0" applyFont="1" applyFill="1" applyBorder="1" applyAlignment="1" applyProtection="1">
      <alignment horizontal="center" vertical="center"/>
    </xf>
    <xf numFmtId="0" fontId="74" fillId="20" borderId="4" xfId="0" applyFont="1" applyFill="1" applyBorder="1" applyAlignment="1" applyProtection="1">
      <alignment horizontal="center" vertical="center"/>
    </xf>
    <xf numFmtId="0" fontId="36" fillId="0" borderId="4" xfId="0" applyFont="1" applyBorder="1" applyProtection="1">
      <protection locked="0"/>
    </xf>
    <xf numFmtId="0" fontId="83" fillId="37" borderId="5" xfId="0" applyFont="1" applyFill="1" applyBorder="1" applyAlignment="1" applyProtection="1">
      <protection locked="0"/>
    </xf>
    <xf numFmtId="0" fontId="36" fillId="36" borderId="4" xfId="0" applyFont="1" applyFill="1" applyBorder="1" applyAlignment="1">
      <alignment horizontal="center"/>
    </xf>
    <xf numFmtId="164" fontId="22" fillId="0" borderId="5" xfId="1" applyNumberFormat="1" applyFont="1" applyBorder="1" applyAlignment="1" applyProtection="1">
      <alignment horizontal="center" vertical="center"/>
    </xf>
    <xf numFmtId="0" fontId="33" fillId="26" borderId="4" xfId="0" applyFont="1" applyFill="1" applyBorder="1" applyAlignment="1" applyProtection="1">
      <alignment horizontal="center" vertical="center"/>
      <protection locked="0"/>
    </xf>
    <xf numFmtId="0" fontId="33" fillId="29" borderId="4" xfId="0" applyFont="1" applyFill="1" applyBorder="1" applyAlignment="1" applyProtection="1">
      <alignment horizontal="center" vertical="center"/>
      <protection locked="0"/>
    </xf>
    <xf numFmtId="0" fontId="39" fillId="29" borderId="4" xfId="0" applyFont="1" applyFill="1" applyBorder="1" applyAlignment="1" applyProtection="1">
      <alignment horizontal="center" vertical="center"/>
    </xf>
    <xf numFmtId="0" fontId="36" fillId="29" borderId="4" xfId="0" applyFont="1" applyFill="1" applyBorder="1" applyAlignment="1" applyProtection="1">
      <alignment horizontal="center" vertical="center"/>
    </xf>
    <xf numFmtId="0" fontId="85" fillId="14" borderId="9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  <protection locked="0"/>
    </xf>
    <xf numFmtId="164" fontId="24" fillId="0" borderId="0" xfId="1" applyNumberFormat="1" applyFont="1" applyFill="1" applyBorder="1" applyAlignment="1" applyProtection="1">
      <alignment horizontal="center" vertical="center"/>
    </xf>
    <xf numFmtId="0" fontId="22" fillId="0" borderId="5" xfId="0" applyFont="1" applyBorder="1" applyAlignment="1" applyProtection="1">
      <alignment horizontal="center" vertical="center"/>
    </xf>
    <xf numFmtId="0" fontId="41" fillId="34" borderId="34" xfId="2" applyBorder="1" applyProtection="1">
      <protection locked="0"/>
    </xf>
    <xf numFmtId="0" fontId="42" fillId="35" borderId="34" xfId="3" applyBorder="1" applyProtection="1">
      <protection locked="0"/>
    </xf>
    <xf numFmtId="0" fontId="83" fillId="36" borderId="5" xfId="0" applyFont="1" applyFill="1" applyBorder="1" applyAlignment="1" applyProtection="1">
      <protection locked="0"/>
    </xf>
    <xf numFmtId="0" fontId="36" fillId="29" borderId="4" xfId="0" applyFont="1" applyFill="1" applyBorder="1" applyAlignment="1">
      <alignment horizontal="center" vertical="center"/>
    </xf>
    <xf numFmtId="0" fontId="36" fillId="14" borderId="4" xfId="0" applyFont="1" applyFill="1" applyBorder="1" applyAlignment="1">
      <alignment horizontal="center" vertical="center"/>
    </xf>
    <xf numFmtId="0" fontId="23" fillId="32" borderId="5" xfId="0" applyFont="1" applyFill="1" applyBorder="1" applyAlignment="1" applyProtection="1">
      <protection locked="0"/>
    </xf>
    <xf numFmtId="0" fontId="36" fillId="0" borderId="15" xfId="0" applyFont="1" applyBorder="1" applyAlignment="1" applyProtection="1">
      <alignment horizontal="center" vertical="center"/>
      <protection locked="0"/>
    </xf>
    <xf numFmtId="0" fontId="36" fillId="32" borderId="4" xfId="0" applyFont="1" applyFill="1" applyBorder="1" applyAlignment="1">
      <alignment horizontal="center" vertical="center"/>
    </xf>
    <xf numFmtId="0" fontId="0" fillId="0" borderId="0" xfId="0" applyBorder="1" applyProtection="1">
      <protection locked="0"/>
    </xf>
    <xf numFmtId="0" fontId="0" fillId="0" borderId="0" xfId="0" applyBorder="1"/>
    <xf numFmtId="0" fontId="0" fillId="0" borderId="13" xfId="0" applyBorder="1" applyProtection="1">
      <protection locked="0"/>
    </xf>
    <xf numFmtId="0" fontId="0" fillId="0" borderId="13" xfId="0" applyBorder="1"/>
    <xf numFmtId="0" fontId="46" fillId="32" borderId="4" xfId="0" applyFont="1" applyFill="1" applyBorder="1" applyAlignment="1" applyProtection="1">
      <alignment horizontal="center"/>
      <protection locked="0"/>
    </xf>
    <xf numFmtId="0" fontId="86" fillId="0" borderId="0" xfId="0" applyFont="1"/>
    <xf numFmtId="0" fontId="76" fillId="36" borderId="5" xfId="0" applyFont="1" applyFill="1" applyBorder="1" applyAlignment="1" applyProtection="1">
      <protection locked="0"/>
    </xf>
    <xf numFmtId="0" fontId="87" fillId="36" borderId="5" xfId="0" applyFont="1" applyFill="1" applyBorder="1" applyAlignment="1" applyProtection="1">
      <protection locked="0"/>
    </xf>
    <xf numFmtId="0" fontId="84" fillId="29" borderId="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>
      <alignment horizontal="center"/>
    </xf>
    <xf numFmtId="0" fontId="79" fillId="32" borderId="0" xfId="0" applyFont="1" applyFill="1" applyAlignment="1" applyProtection="1">
      <alignment horizontal="right" vertical="top"/>
      <protection locked="0"/>
    </xf>
    <xf numFmtId="0" fontId="79" fillId="41" borderId="0" xfId="0" applyFont="1" applyFill="1" applyAlignment="1" applyProtection="1">
      <alignment horizontal="right" vertical="top"/>
      <protection locked="0"/>
    </xf>
    <xf numFmtId="0" fontId="66" fillId="41" borderId="5" xfId="0" applyFont="1" applyFill="1" applyBorder="1" applyAlignment="1" applyProtection="1">
      <protection locked="0"/>
    </xf>
    <xf numFmtId="0" fontId="23" fillId="41" borderId="4" xfId="0" applyFont="1" applyFill="1" applyBorder="1" applyAlignment="1" applyProtection="1">
      <alignment horizontal="right"/>
    </xf>
    <xf numFmtId="0" fontId="23" fillId="41" borderId="4" xfId="0" applyFont="1" applyFill="1" applyBorder="1" applyAlignment="1" applyProtection="1">
      <alignment horizontal="left"/>
    </xf>
    <xf numFmtId="0" fontId="22" fillId="41" borderId="4" xfId="0" applyFont="1" applyFill="1" applyBorder="1" applyAlignment="1" applyProtection="1">
      <alignment horizontal="center" vertical="center"/>
    </xf>
    <xf numFmtId="0" fontId="22" fillId="41" borderId="4" xfId="0" applyFont="1" applyFill="1" applyBorder="1" applyAlignment="1" applyProtection="1">
      <alignment horizontal="right" vertical="center"/>
    </xf>
    <xf numFmtId="0" fontId="22" fillId="41" borderId="4" xfId="0" applyFont="1" applyFill="1" applyBorder="1" applyAlignment="1" applyProtection="1">
      <alignment vertical="center"/>
    </xf>
    <xf numFmtId="0" fontId="22" fillId="41" borderId="4" xfId="0" applyFont="1" applyFill="1" applyBorder="1" applyAlignment="1" applyProtection="1">
      <alignment horizontal="left" vertical="center"/>
      <protection locked="0"/>
    </xf>
    <xf numFmtId="0" fontId="33" fillId="41" borderId="4" xfId="0" applyFont="1" applyFill="1" applyBorder="1" applyAlignment="1" applyProtection="1">
      <alignment horizontal="center" vertical="center"/>
      <protection locked="0"/>
    </xf>
    <xf numFmtId="0" fontId="63" fillId="41" borderId="4" xfId="0" applyFont="1" applyFill="1" applyBorder="1" applyAlignment="1" applyProtection="1">
      <alignment horizontal="center" vertical="center"/>
    </xf>
    <xf numFmtId="0" fontId="23" fillId="41" borderId="4" xfId="0" applyFont="1" applyFill="1" applyBorder="1" applyAlignment="1" applyProtection="1">
      <alignment horizontal="center" vertical="center"/>
      <protection locked="0"/>
    </xf>
    <xf numFmtId="166" fontId="31" fillId="41" borderId="5" xfId="0" applyNumberFormat="1" applyFont="1" applyFill="1" applyBorder="1" applyAlignment="1" applyProtection="1">
      <alignment horizontal="center"/>
    </xf>
    <xf numFmtId="0" fontId="22" fillId="41" borderId="12" xfId="0" applyFont="1" applyFill="1" applyBorder="1" applyAlignment="1" applyProtection="1">
      <alignment horizontal="center" vertical="center"/>
    </xf>
    <xf numFmtId="0" fontId="22" fillId="41" borderId="4" xfId="0" applyFont="1" applyFill="1" applyBorder="1" applyProtection="1"/>
    <xf numFmtId="0" fontId="0" fillId="41" borderId="4" xfId="0" applyFill="1" applyBorder="1" applyProtection="1">
      <protection locked="0"/>
    </xf>
    <xf numFmtId="0" fontId="0" fillId="41" borderId="4" xfId="0" applyFill="1" applyBorder="1"/>
    <xf numFmtId="0" fontId="66" fillId="29" borderId="0" xfId="0" applyFont="1" applyFill="1" applyBorder="1" applyAlignment="1" applyProtection="1">
      <protection locked="0"/>
    </xf>
    <xf numFmtId="0" fontId="22" fillId="29" borderId="5" xfId="0" applyFont="1" applyFill="1" applyBorder="1" applyAlignment="1" applyProtection="1">
      <alignment horizontal="right" vertical="center"/>
    </xf>
    <xf numFmtId="166" fontId="31" fillId="29" borderId="5" xfId="0" applyNumberFormat="1" applyFont="1" applyFill="1" applyBorder="1" applyAlignment="1" applyProtection="1">
      <alignment horizontal="center"/>
    </xf>
    <xf numFmtId="0" fontId="22" fillId="29" borderId="12" xfId="0" applyFont="1" applyFill="1" applyBorder="1" applyAlignment="1" applyProtection="1">
      <alignment horizontal="center" vertical="center"/>
    </xf>
    <xf numFmtId="0" fontId="66" fillId="32" borderId="5" xfId="0" applyFont="1" applyFill="1" applyBorder="1" applyAlignment="1" applyProtection="1">
      <protection locked="0"/>
    </xf>
    <xf numFmtId="0" fontId="23" fillId="32" borderId="4" xfId="0" applyFont="1" applyFill="1" applyBorder="1" applyAlignment="1" applyProtection="1">
      <alignment horizontal="right"/>
    </xf>
    <xf numFmtId="0" fontId="23" fillId="32" borderId="4" xfId="0" applyFont="1" applyFill="1" applyBorder="1" applyAlignment="1" applyProtection="1">
      <alignment horizontal="left"/>
    </xf>
    <xf numFmtId="0" fontId="22" fillId="32" borderId="4" xfId="0" applyFont="1" applyFill="1" applyBorder="1" applyAlignment="1" applyProtection="1">
      <alignment horizontal="right" vertical="center"/>
    </xf>
    <xf numFmtId="0" fontId="22" fillId="32" borderId="4" xfId="0" applyFont="1" applyFill="1" applyBorder="1" applyAlignment="1" applyProtection="1">
      <alignment vertical="center"/>
    </xf>
    <xf numFmtId="0" fontId="22" fillId="32" borderId="4" xfId="0" applyFont="1" applyFill="1" applyBorder="1" applyAlignment="1" applyProtection="1">
      <alignment horizontal="left" vertical="center"/>
      <protection locked="0"/>
    </xf>
    <xf numFmtId="0" fontId="33" fillId="32" borderId="4" xfId="0" applyFont="1" applyFill="1" applyBorder="1" applyAlignment="1" applyProtection="1">
      <alignment horizontal="center" vertical="center"/>
      <protection locked="0"/>
    </xf>
    <xf numFmtId="0" fontId="63" fillId="32" borderId="4" xfId="0" applyFont="1" applyFill="1" applyBorder="1" applyAlignment="1" applyProtection="1">
      <alignment horizontal="center" vertical="center"/>
    </xf>
    <xf numFmtId="0" fontId="74" fillId="32" borderId="4" xfId="0" applyFont="1" applyFill="1" applyBorder="1" applyAlignment="1" applyProtection="1">
      <alignment horizontal="center" vertical="center"/>
    </xf>
    <xf numFmtId="0" fontId="23" fillId="32" borderId="4" xfId="0" applyFont="1" applyFill="1" applyBorder="1" applyAlignment="1" applyProtection="1">
      <alignment horizontal="center" vertical="center"/>
      <protection locked="0"/>
    </xf>
    <xf numFmtId="166" fontId="31" fillId="32" borderId="5" xfId="0" applyNumberFormat="1" applyFont="1" applyFill="1" applyBorder="1" applyAlignment="1" applyProtection="1">
      <alignment horizontal="center"/>
    </xf>
    <xf numFmtId="0" fontId="22" fillId="32" borderId="12" xfId="0" applyFont="1" applyFill="1" applyBorder="1" applyAlignment="1" applyProtection="1">
      <alignment horizontal="center" vertical="center"/>
    </xf>
    <xf numFmtId="0" fontId="28" fillId="32" borderId="4" xfId="0" applyFont="1" applyFill="1" applyBorder="1" applyProtection="1"/>
    <xf numFmtId="0" fontId="0" fillId="32" borderId="4" xfId="0" applyFill="1" applyBorder="1" applyProtection="1">
      <protection locked="0"/>
    </xf>
    <xf numFmtId="0" fontId="70" fillId="36" borderId="4" xfId="0" applyFont="1" applyFill="1" applyBorder="1" applyAlignment="1" applyProtection="1">
      <alignment horizontal="right"/>
    </xf>
    <xf numFmtId="0" fontId="70" fillId="36" borderId="4" xfId="0" applyFont="1" applyFill="1" applyBorder="1" applyAlignment="1" applyProtection="1">
      <alignment horizontal="left"/>
    </xf>
    <xf numFmtId="0" fontId="71" fillId="36" borderId="4" xfId="0" applyFont="1" applyFill="1" applyBorder="1" applyAlignment="1" applyProtection="1">
      <alignment horizontal="center" vertical="center"/>
    </xf>
    <xf numFmtId="0" fontId="73" fillId="36" borderId="4" xfId="0" applyFont="1" applyFill="1" applyBorder="1" applyAlignment="1" applyProtection="1">
      <alignment horizontal="right" vertical="center"/>
    </xf>
    <xf numFmtId="0" fontId="22" fillId="36" borderId="4" xfId="0" applyFont="1" applyFill="1" applyBorder="1" applyAlignment="1" applyProtection="1">
      <alignment horizontal="left" vertical="center"/>
      <protection locked="0"/>
    </xf>
    <xf numFmtId="0" fontId="84" fillId="36" borderId="4" xfId="0" applyFont="1" applyFill="1" applyBorder="1" applyAlignment="1" applyProtection="1">
      <alignment horizontal="center" vertical="center"/>
      <protection locked="0"/>
    </xf>
    <xf numFmtId="0" fontId="72" fillId="36" borderId="4" xfId="0" applyFont="1" applyFill="1" applyBorder="1" applyAlignment="1" applyProtection="1">
      <alignment horizontal="center" vertical="center"/>
    </xf>
    <xf numFmtId="0" fontId="74" fillId="36" borderId="4" xfId="0" applyFont="1" applyFill="1" applyBorder="1" applyAlignment="1" applyProtection="1">
      <alignment horizontal="center" vertical="center"/>
    </xf>
    <xf numFmtId="0" fontId="70" fillId="36" borderId="4" xfId="0" applyFont="1" applyFill="1" applyBorder="1" applyAlignment="1" applyProtection="1">
      <alignment horizontal="center" vertical="center"/>
      <protection locked="0"/>
    </xf>
    <xf numFmtId="166" fontId="31" fillId="36" borderId="5" xfId="0" applyNumberFormat="1" applyFont="1" applyFill="1" applyBorder="1" applyAlignment="1" applyProtection="1">
      <alignment horizontal="center"/>
    </xf>
    <xf numFmtId="0" fontId="22" fillId="36" borderId="12" xfId="0" applyFont="1" applyFill="1" applyBorder="1" applyAlignment="1" applyProtection="1">
      <alignment horizontal="center" vertical="center"/>
    </xf>
    <xf numFmtId="0" fontId="71" fillId="36" borderId="4" xfId="0" applyFont="1" applyFill="1" applyBorder="1" applyProtection="1"/>
    <xf numFmtId="0" fontId="0" fillId="36" borderId="4" xfId="0" applyFont="1" applyFill="1" applyBorder="1" applyProtection="1">
      <protection locked="0"/>
    </xf>
    <xf numFmtId="0" fontId="0" fillId="36" borderId="4" xfId="0" applyFont="1" applyFill="1" applyBorder="1"/>
    <xf numFmtId="0" fontId="67" fillId="36" borderId="5" xfId="0" applyFont="1" applyFill="1" applyBorder="1" applyAlignment="1" applyProtection="1">
      <protection locked="0"/>
    </xf>
    <xf numFmtId="0" fontId="88" fillId="32" borderId="5" xfId="0" applyFont="1" applyFill="1" applyBorder="1" applyAlignment="1" applyProtection="1">
      <protection locked="0"/>
    </xf>
    <xf numFmtId="0" fontId="87" fillId="32" borderId="5" xfId="0" applyFont="1" applyFill="1" applyBorder="1" applyAlignment="1" applyProtection="1">
      <protection locked="0"/>
    </xf>
    <xf numFmtId="0" fontId="43" fillId="0" borderId="5" xfId="0" applyFont="1" applyFill="1" applyBorder="1" applyAlignment="1" applyProtection="1">
      <alignment horizontal="left" vertical="center" wrapText="1"/>
      <protection locked="0"/>
    </xf>
    <xf numFmtId="0" fontId="43" fillId="0" borderId="5" xfId="0" applyFont="1" applyBorder="1" applyAlignment="1" applyProtection="1">
      <protection locked="0"/>
    </xf>
    <xf numFmtId="0" fontId="43" fillId="20" borderId="5" xfId="0" applyFont="1" applyFill="1" applyBorder="1" applyAlignment="1" applyProtection="1">
      <alignment horizontal="left" vertical="center" wrapText="1"/>
      <protection locked="0"/>
    </xf>
    <xf numFmtId="0" fontId="23" fillId="0" borderId="5" xfId="0" applyFont="1" applyBorder="1" applyAlignment="1" applyProtection="1">
      <protection locked="0"/>
    </xf>
    <xf numFmtId="0" fontId="46" fillId="0" borderId="0" xfId="0" applyFont="1" applyBorder="1" applyAlignment="1" applyProtection="1">
      <alignment horizontal="left"/>
      <protection locked="0"/>
    </xf>
    <xf numFmtId="0" fontId="0" fillId="0" borderId="4" xfId="0" applyFont="1" applyBorder="1" applyAlignment="1" applyProtection="1">
      <alignment vertical="center" wrapText="1"/>
      <protection locked="0"/>
    </xf>
    <xf numFmtId="0" fontId="67" fillId="32" borderId="5" xfId="0" applyFont="1" applyFill="1" applyBorder="1" applyAlignment="1" applyProtection="1">
      <protection locked="0"/>
    </xf>
    <xf numFmtId="164" fontId="47" fillId="42" borderId="12" xfId="1" applyNumberFormat="1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45" fillId="0" borderId="0" xfId="0" applyFont="1" applyAlignment="1">
      <alignment horizontal="center" vertical="center"/>
    </xf>
    <xf numFmtId="0" fontId="44" fillId="32" borderId="4" xfId="0" applyFont="1" applyFill="1" applyBorder="1" applyAlignment="1">
      <alignment horizontal="center"/>
    </xf>
    <xf numFmtId="0" fontId="43" fillId="32" borderId="4" xfId="0" applyFont="1" applyFill="1" applyBorder="1" applyAlignment="1" applyProtection="1">
      <alignment horizontal="center" vertical="center"/>
    </xf>
    <xf numFmtId="164" fontId="31" fillId="31" borderId="4" xfId="1" applyNumberFormat="1" applyFont="1" applyFill="1" applyBorder="1" applyAlignment="1" applyProtection="1">
      <alignment horizontal="center" vertical="center"/>
    </xf>
    <xf numFmtId="0" fontId="83" fillId="20" borderId="5" xfId="0" applyFont="1" applyFill="1" applyBorder="1" applyAlignment="1" applyProtection="1">
      <protection locked="0"/>
    </xf>
    <xf numFmtId="0" fontId="39" fillId="0" borderId="17" xfId="0" applyFont="1" applyBorder="1" applyAlignment="1" applyProtection="1">
      <protection locked="0"/>
    </xf>
    <xf numFmtId="0" fontId="39" fillId="0" borderId="0" xfId="0" applyFont="1" applyBorder="1" applyAlignment="1" applyProtection="1">
      <protection locked="0"/>
    </xf>
    <xf numFmtId="0" fontId="44" fillId="0" borderId="17" xfId="0" applyFont="1" applyBorder="1" applyProtection="1">
      <protection locked="0"/>
    </xf>
    <xf numFmtId="0" fontId="46" fillId="28" borderId="4" xfId="0" applyFont="1" applyFill="1" applyBorder="1" applyAlignment="1" applyProtection="1">
      <alignment horizontal="center" vertical="center"/>
      <protection locked="0"/>
    </xf>
    <xf numFmtId="3" fontId="5" fillId="0" borderId="0" xfId="0" applyNumberFormat="1" applyFont="1" applyProtection="1">
      <protection locked="0"/>
    </xf>
    <xf numFmtId="0" fontId="49" fillId="0" borderId="22" xfId="0" applyFont="1" applyBorder="1" applyAlignment="1">
      <alignment horizontal="center" vertical="center"/>
    </xf>
    <xf numFmtId="1" fontId="36" fillId="20" borderId="0" xfId="0" applyNumberFormat="1" applyFont="1" applyFill="1" applyBorder="1" applyProtection="1">
      <protection locked="0"/>
    </xf>
    <xf numFmtId="0" fontId="44" fillId="0" borderId="0" xfId="0" applyFont="1" applyBorder="1" applyProtection="1">
      <protection locked="0"/>
    </xf>
    <xf numFmtId="0" fontId="44" fillId="30" borderId="0" xfId="0" applyFont="1" applyFill="1" applyBorder="1" applyAlignment="1">
      <alignment horizontal="center" vertical="center"/>
    </xf>
    <xf numFmtId="0" fontId="44" fillId="0" borderId="0" xfId="0" applyFont="1" applyBorder="1" applyAlignment="1">
      <alignment horizontal="center" vertical="center"/>
    </xf>
    <xf numFmtId="0" fontId="44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2" fontId="0" fillId="0" borderId="0" xfId="0" applyNumberFormat="1" applyBorder="1" applyAlignment="1">
      <alignment vertical="center"/>
    </xf>
    <xf numFmtId="0" fontId="31" fillId="20" borderId="0" xfId="0" applyFont="1" applyFill="1" applyAlignment="1" applyProtection="1">
      <alignment horizontal="right" vertical="top"/>
      <protection locked="0"/>
    </xf>
    <xf numFmtId="2" fontId="39" fillId="20" borderId="4" xfId="0" applyNumberFormat="1" applyFont="1" applyFill="1" applyBorder="1" applyAlignment="1" applyProtection="1">
      <alignment horizontal="center" vertical="center"/>
    </xf>
    <xf numFmtId="1" fontId="39" fillId="20" borderId="4" xfId="0" applyNumberFormat="1" applyFont="1" applyFill="1" applyBorder="1" applyAlignment="1" applyProtection="1">
      <alignment horizontal="center" vertical="center"/>
    </xf>
    <xf numFmtId="0" fontId="39" fillId="0" borderId="4" xfId="0" applyFont="1" applyBorder="1" applyAlignment="1" applyProtection="1">
      <alignment horizontal="center" vertical="center"/>
    </xf>
    <xf numFmtId="1" fontId="4" fillId="20" borderId="4" xfId="0" applyNumberFormat="1" applyFont="1" applyFill="1" applyBorder="1" applyAlignment="1" applyProtection="1">
      <alignment horizontal="center"/>
    </xf>
    <xf numFmtId="0" fontId="22" fillId="43" borderId="4" xfId="0" applyFont="1" applyFill="1" applyBorder="1" applyAlignment="1" applyProtection="1">
      <alignment horizontal="center" vertical="center" wrapText="1"/>
      <protection locked="0"/>
    </xf>
    <xf numFmtId="0" fontId="23" fillId="20" borderId="14" xfId="0" applyFont="1" applyFill="1" applyBorder="1" applyAlignment="1" applyProtection="1">
      <alignment horizontal="center" vertical="center"/>
    </xf>
    <xf numFmtId="0" fontId="23" fillId="20" borderId="28" xfId="0" applyFont="1" applyFill="1" applyBorder="1" applyAlignment="1" applyProtection="1">
      <alignment horizontal="center" vertical="center"/>
    </xf>
    <xf numFmtId="0" fontId="23" fillId="20" borderId="15" xfId="0" applyFont="1" applyFill="1" applyBorder="1" applyAlignment="1" applyProtection="1">
      <alignment horizontal="center" vertical="center" wrapText="1"/>
      <protection locked="0"/>
    </xf>
    <xf numFmtId="1" fontId="46" fillId="14" borderId="4" xfId="0" applyNumberFormat="1" applyFont="1" applyFill="1" applyBorder="1" applyAlignment="1" applyProtection="1">
      <alignment horizontal="center" vertical="center"/>
    </xf>
    <xf numFmtId="169" fontId="43" fillId="28" borderId="4" xfId="0" applyNumberFormat="1" applyFont="1" applyFill="1" applyBorder="1" applyAlignment="1" applyProtection="1">
      <alignment horizontal="center" vertical="center"/>
    </xf>
    <xf numFmtId="0" fontId="44" fillId="20" borderId="0" xfId="0" applyFont="1" applyFill="1"/>
    <xf numFmtId="0" fontId="82" fillId="14" borderId="4" xfId="0" applyFont="1" applyFill="1" applyBorder="1" applyAlignment="1">
      <alignment horizontal="right" vertical="center"/>
    </xf>
    <xf numFmtId="0" fontId="89" fillId="30" borderId="4" xfId="0" applyFont="1" applyFill="1" applyBorder="1" applyAlignment="1">
      <alignment horizontal="right" vertical="center"/>
    </xf>
    <xf numFmtId="3" fontId="31" fillId="31" borderId="14" xfId="0" applyNumberFormat="1" applyFont="1" applyFill="1" applyBorder="1" applyAlignment="1" applyProtection="1">
      <alignment horizontal="center" vertical="center"/>
    </xf>
    <xf numFmtId="0" fontId="25" fillId="32" borderId="4" xfId="0" applyFont="1" applyFill="1" applyBorder="1" applyAlignment="1">
      <alignment horizontal="right" vertical="center"/>
    </xf>
    <xf numFmtId="3" fontId="25" fillId="32" borderId="4" xfId="0" applyNumberFormat="1" applyFont="1" applyFill="1" applyBorder="1" applyAlignment="1">
      <alignment horizontal="center" vertical="center"/>
    </xf>
    <xf numFmtId="1" fontId="24" fillId="30" borderId="4" xfId="0" applyNumberFormat="1" applyFont="1" applyFill="1" applyBorder="1" applyAlignment="1" applyProtection="1">
      <alignment horizontal="center"/>
    </xf>
    <xf numFmtId="164" fontId="46" fillId="33" borderId="4" xfId="0" applyNumberFormat="1" applyFont="1" applyFill="1" applyBorder="1" applyAlignment="1" applyProtection="1">
      <alignment vertical="center"/>
    </xf>
    <xf numFmtId="164" fontId="23" fillId="30" borderId="16" xfId="0" applyNumberFormat="1" applyFont="1" applyFill="1" applyBorder="1" applyAlignment="1" applyProtection="1">
      <alignment horizontal="center"/>
    </xf>
    <xf numFmtId="164" fontId="68" fillId="14" borderId="14" xfId="0" applyNumberFormat="1" applyFont="1" applyFill="1" applyBorder="1" applyAlignment="1" applyProtection="1">
      <alignment horizontal="center" vertical="center"/>
    </xf>
    <xf numFmtId="0" fontId="39" fillId="29" borderId="4" xfId="0" applyFont="1" applyFill="1" applyBorder="1" applyAlignment="1">
      <alignment horizontal="center" vertical="center"/>
    </xf>
    <xf numFmtId="0" fontId="8" fillId="43" borderId="4" xfId="0" applyFont="1" applyFill="1" applyBorder="1" applyAlignment="1" applyProtection="1">
      <alignment horizontal="center" vertical="center" wrapText="1"/>
      <protection locked="0"/>
    </xf>
    <xf numFmtId="164" fontId="46" fillId="0" borderId="4" xfId="0" applyNumberFormat="1" applyFont="1" applyBorder="1" applyAlignment="1" applyProtection="1">
      <alignment horizontal="center" vertical="center"/>
    </xf>
    <xf numFmtId="0" fontId="5" fillId="0" borderId="0" xfId="0" applyFont="1" applyBorder="1" applyProtection="1">
      <protection locked="0"/>
    </xf>
    <xf numFmtId="0" fontId="5" fillId="20" borderId="0" xfId="0" applyFont="1" applyFill="1" applyBorder="1" applyProtection="1">
      <protection locked="0"/>
    </xf>
    <xf numFmtId="0" fontId="81" fillId="0" borderId="0" xfId="0" applyFont="1" applyAlignment="1">
      <alignment horizontal="center" vertical="center"/>
    </xf>
    <xf numFmtId="0" fontId="43" fillId="0" borderId="5" xfId="0" applyFont="1" applyBorder="1" applyAlignment="1" applyProtection="1">
      <alignment horizontal="left" vertical="center"/>
      <protection locked="0"/>
    </xf>
    <xf numFmtId="164" fontId="45" fillId="0" borderId="0" xfId="1" applyNumberFormat="1" applyFont="1" applyAlignment="1" applyProtection="1">
      <alignment horizontal="left" vertical="center"/>
      <protection locked="0"/>
    </xf>
    <xf numFmtId="0" fontId="36" fillId="20" borderId="15" xfId="0" applyFont="1" applyFill="1" applyBorder="1" applyAlignment="1" applyProtection="1">
      <alignment horizontal="right"/>
      <protection locked="0"/>
    </xf>
    <xf numFmtId="3" fontId="0" fillId="0" borderId="0" xfId="0" applyNumberFormat="1" applyFont="1" applyAlignment="1" applyProtection="1">
      <alignment horizontal="center"/>
      <protection locked="0"/>
    </xf>
    <xf numFmtId="0" fontId="24" fillId="30" borderId="4" xfId="0" applyFont="1" applyFill="1" applyBorder="1" applyAlignment="1" applyProtection="1">
      <alignment horizontal="center"/>
      <protection locked="0"/>
    </xf>
    <xf numFmtId="0" fontId="36" fillId="0" borderId="0" xfId="0" applyFont="1" applyBorder="1" applyAlignment="1" applyProtection="1">
      <alignment horizontal="center" vertical="center"/>
      <protection locked="0"/>
    </xf>
    <xf numFmtId="0" fontId="33" fillId="36" borderId="4" xfId="0" applyFont="1" applyFill="1" applyBorder="1" applyAlignment="1" applyProtection="1">
      <alignment horizontal="center" vertical="center"/>
      <protection locked="0"/>
    </xf>
    <xf numFmtId="0" fontId="33" fillId="16" borderId="4" xfId="0" applyFont="1" applyFill="1" applyBorder="1" applyAlignment="1" applyProtection="1">
      <alignment horizontal="center" vertical="center"/>
      <protection locked="0"/>
    </xf>
    <xf numFmtId="0" fontId="33" fillId="27" borderId="4" xfId="0" applyFont="1" applyFill="1" applyBorder="1" applyAlignment="1" applyProtection="1">
      <alignment horizontal="center" vertical="center"/>
      <protection locked="0"/>
    </xf>
    <xf numFmtId="166" fontId="33" fillId="29" borderId="4" xfId="0" applyNumberFormat="1" applyFont="1" applyFill="1" applyBorder="1" applyAlignment="1" applyProtection="1">
      <alignment horizontal="center" vertical="center"/>
      <protection locked="0"/>
    </xf>
    <xf numFmtId="0" fontId="46" fillId="0" borderId="4" xfId="0" applyFont="1" applyBorder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center" vertical="center"/>
      <protection locked="0"/>
    </xf>
    <xf numFmtId="14" fontId="36" fillId="0" borderId="0" xfId="0" applyNumberFormat="1" applyFont="1" applyBorder="1" applyProtection="1">
      <protection locked="0"/>
    </xf>
    <xf numFmtId="0" fontId="26" fillId="0" borderId="23" xfId="0" applyFont="1" applyBorder="1" applyAlignment="1">
      <alignment vertical="center"/>
    </xf>
    <xf numFmtId="0" fontId="82" fillId="20" borderId="0" xfId="0" applyFont="1" applyFill="1"/>
    <xf numFmtId="0" fontId="45" fillId="0" borderId="0" xfId="0" applyFont="1" applyBorder="1" applyAlignment="1" applyProtection="1">
      <alignment vertical="center" wrapText="1"/>
      <protection locked="0"/>
    </xf>
    <xf numFmtId="0" fontId="25" fillId="0" borderId="0" xfId="0" applyFont="1" applyBorder="1" applyAlignment="1" applyProtection="1">
      <alignment horizontal="center" vertical="center"/>
      <protection locked="0"/>
    </xf>
    <xf numFmtId="0" fontId="90" fillId="0" borderId="0" xfId="0" applyFont="1" applyBorder="1" applyProtection="1">
      <protection locked="0"/>
    </xf>
    <xf numFmtId="0" fontId="81" fillId="30" borderId="20" xfId="3" applyFont="1" applyFill="1" applyAlignment="1" applyProtection="1">
      <alignment horizontal="center" vertical="center"/>
      <protection locked="0"/>
    </xf>
    <xf numFmtId="164" fontId="46" fillId="30" borderId="4" xfId="0" applyNumberFormat="1" applyFont="1" applyFill="1" applyBorder="1" applyAlignment="1" applyProtection="1">
      <alignment horizontal="left" vertical="center"/>
    </xf>
    <xf numFmtId="164" fontId="63" fillId="0" borderId="4" xfId="0" applyNumberFormat="1" applyFont="1" applyBorder="1" applyAlignment="1" applyProtection="1">
      <alignment horizontal="center" vertical="center"/>
    </xf>
    <xf numFmtId="0" fontId="46" fillId="32" borderId="4" xfId="0" applyFont="1" applyFill="1" applyBorder="1" applyAlignment="1" applyProtection="1">
      <alignment horizontal="center" vertical="center"/>
      <protection locked="0"/>
    </xf>
    <xf numFmtId="171" fontId="35" fillId="2" borderId="4" xfId="0" applyNumberFormat="1" applyFont="1" applyFill="1" applyBorder="1" applyAlignment="1" applyProtection="1">
      <alignment horizontal="right" vertical="center"/>
    </xf>
    <xf numFmtId="0" fontId="83" fillId="14" borderId="5" xfId="0" applyFont="1" applyFill="1" applyBorder="1" applyAlignment="1" applyProtection="1">
      <protection locked="0"/>
    </xf>
    <xf numFmtId="0" fontId="73" fillId="29" borderId="4" xfId="0" applyFont="1" applyFill="1" applyBorder="1" applyAlignment="1" applyProtection="1">
      <alignment horizontal="center" vertical="center"/>
    </xf>
    <xf numFmtId="0" fontId="23" fillId="0" borderId="14" xfId="0" applyFont="1" applyBorder="1" applyAlignment="1" applyProtection="1">
      <alignment horizontal="center" vertical="center"/>
      <protection locked="0"/>
    </xf>
    <xf numFmtId="0" fontId="22" fillId="0" borderId="35" xfId="0" applyFont="1" applyBorder="1" applyAlignment="1" applyProtection="1">
      <alignment horizontal="center" vertical="center"/>
    </xf>
    <xf numFmtId="0" fontId="5" fillId="0" borderId="17" xfId="0" applyFont="1" applyBorder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20" borderId="4" xfId="0" applyNumberFormat="1" applyFont="1" applyFill="1" applyBorder="1" applyAlignment="1">
      <alignment horizontal="center" vertical="center"/>
    </xf>
    <xf numFmtId="164" fontId="23" fillId="20" borderId="4" xfId="0" applyNumberFormat="1" applyFont="1" applyFill="1" applyBorder="1" applyAlignment="1" applyProtection="1">
      <alignment vertical="center"/>
      <protection locked="0"/>
    </xf>
    <xf numFmtId="0" fontId="22" fillId="20" borderId="0" xfId="0" applyFont="1" applyFill="1" applyBorder="1" applyAlignment="1" applyProtection="1">
      <alignment horizontal="center"/>
      <protection locked="0"/>
    </xf>
    <xf numFmtId="1" fontId="24" fillId="30" borderId="4" xfId="0" applyNumberFormat="1" applyFont="1" applyFill="1" applyBorder="1" applyAlignment="1" applyProtection="1">
      <alignment horizontal="center" vertical="center"/>
    </xf>
    <xf numFmtId="0" fontId="43" fillId="36" borderId="0" xfId="0" applyFont="1" applyFill="1" applyBorder="1" applyAlignment="1" applyProtection="1">
      <alignment horizontal="center" vertical="center" wrapText="1"/>
    </xf>
    <xf numFmtId="166" fontId="4" fillId="20" borderId="4" xfId="0" applyNumberFormat="1" applyFont="1" applyFill="1" applyBorder="1" applyAlignment="1" applyProtection="1">
      <alignment horizontal="center"/>
    </xf>
    <xf numFmtId="0" fontId="36" fillId="32" borderId="4" xfId="0" applyFont="1" applyFill="1" applyBorder="1" applyAlignment="1" applyProtection="1">
      <alignment horizontal="center" vertical="center"/>
    </xf>
    <xf numFmtId="0" fontId="91" fillId="0" borderId="0" xfId="0" applyFont="1" applyAlignment="1" applyProtection="1">
      <alignment horizontal="right" vertical="top"/>
      <protection locked="0"/>
    </xf>
    <xf numFmtId="0" fontId="71" fillId="0" borderId="5" xfId="0" applyFont="1" applyBorder="1" applyAlignment="1" applyProtection="1">
      <protection locked="0"/>
    </xf>
    <xf numFmtId="0" fontId="71" fillId="0" borderId="4" xfId="0" applyFont="1" applyBorder="1" applyAlignment="1" applyProtection="1">
      <alignment horizontal="right"/>
    </xf>
    <xf numFmtId="0" fontId="71" fillId="0" borderId="4" xfId="0" applyFont="1" applyFill="1" applyBorder="1" applyAlignment="1" applyProtection="1">
      <alignment horizontal="left"/>
    </xf>
    <xf numFmtId="0" fontId="71" fillId="0" borderId="4" xfId="0" applyFont="1" applyFill="1" applyBorder="1" applyAlignment="1" applyProtection="1">
      <alignment horizontal="center" vertical="center"/>
    </xf>
    <xf numFmtId="0" fontId="71" fillId="0" borderId="4" xfId="0" applyFont="1" applyFill="1" applyBorder="1" applyAlignment="1" applyProtection="1">
      <alignment horizontal="right" vertical="center"/>
    </xf>
    <xf numFmtId="0" fontId="71" fillId="0" borderId="4" xfId="0" applyFont="1" applyFill="1" applyBorder="1" applyAlignment="1" applyProtection="1">
      <alignment vertical="center"/>
    </xf>
    <xf numFmtId="0" fontId="92" fillId="27" borderId="5" xfId="0" applyFont="1" applyFill="1" applyBorder="1" applyAlignment="1" applyProtection="1">
      <alignment vertical="center"/>
      <protection locked="0"/>
    </xf>
    <xf numFmtId="0" fontId="71" fillId="0" borderId="12" xfId="0" applyFont="1" applyFill="1" applyBorder="1" applyAlignment="1" applyProtection="1">
      <alignment horizontal="left" vertical="center"/>
      <protection locked="0"/>
    </xf>
    <xf numFmtId="0" fontId="92" fillId="26" borderId="4" xfId="0" applyFont="1" applyFill="1" applyBorder="1" applyAlignment="1" applyProtection="1">
      <alignment horizontal="center" vertical="center"/>
      <protection locked="0"/>
    </xf>
    <xf numFmtId="0" fontId="92" fillId="18" borderId="4" xfId="0" applyFont="1" applyFill="1" applyBorder="1" applyAlignment="1" applyProtection="1">
      <alignment horizontal="center" vertical="center"/>
    </xf>
    <xf numFmtId="0" fontId="71" fillId="0" borderId="4" xfId="0" applyFont="1" applyBorder="1" applyAlignment="1" applyProtection="1">
      <alignment horizontal="center" vertical="center"/>
    </xf>
    <xf numFmtId="0" fontId="91" fillId="0" borderId="4" xfId="0" applyFont="1" applyBorder="1" applyAlignment="1" applyProtection="1">
      <alignment horizontal="center"/>
      <protection locked="0"/>
    </xf>
    <xf numFmtId="166" fontId="91" fillId="0" borderId="5" xfId="0" applyNumberFormat="1" applyFont="1" applyBorder="1" applyAlignment="1" applyProtection="1">
      <alignment horizontal="center"/>
    </xf>
    <xf numFmtId="0" fontId="71" fillId="20" borderId="6" xfId="0" applyFont="1" applyFill="1" applyBorder="1" applyAlignment="1" applyProtection="1">
      <protection locked="0"/>
    </xf>
    <xf numFmtId="0" fontId="71" fillId="20" borderId="4" xfId="0" applyFont="1" applyFill="1" applyBorder="1" applyAlignment="1" applyProtection="1">
      <alignment horizontal="right"/>
    </xf>
    <xf numFmtId="0" fontId="71" fillId="0" borderId="4" xfId="0" applyFont="1" applyBorder="1" applyAlignment="1" applyProtection="1">
      <alignment horizontal="center" vertical="center"/>
      <protection locked="0"/>
    </xf>
    <xf numFmtId="0" fontId="71" fillId="0" borderId="4" xfId="0" applyFont="1" applyFill="1" applyBorder="1" applyAlignment="1" applyProtection="1">
      <alignment horizontal="right"/>
    </xf>
    <xf numFmtId="0" fontId="92" fillId="36" borderId="4" xfId="0" applyFont="1" applyFill="1" applyBorder="1" applyAlignment="1" applyProtection="1">
      <alignment horizontal="center" vertical="center"/>
      <protection locked="0"/>
    </xf>
    <xf numFmtId="0" fontId="71" fillId="0" borderId="5" xfId="0" applyFont="1" applyBorder="1" applyAlignment="1" applyProtection="1">
      <alignment horizontal="right" vertical="center"/>
    </xf>
    <xf numFmtId="167" fontId="71" fillId="0" borderId="4" xfId="0" applyNumberFormat="1" applyFont="1" applyBorder="1" applyAlignment="1" applyProtection="1">
      <alignment horizontal="center" vertical="center"/>
    </xf>
    <xf numFmtId="0" fontId="71" fillId="0" borderId="5" xfId="0" applyFont="1" applyBorder="1" applyAlignment="1" applyProtection="1">
      <alignment horizontal="left" vertical="center"/>
      <protection locked="0"/>
    </xf>
    <xf numFmtId="0" fontId="71" fillId="0" borderId="5" xfId="0" applyFont="1" applyFill="1" applyBorder="1" applyAlignment="1" applyProtection="1">
      <protection locked="0"/>
    </xf>
    <xf numFmtId="0" fontId="16" fillId="0" borderId="5" xfId="0" applyFont="1" applyFill="1" applyBorder="1" applyAlignment="1" applyProtection="1">
      <protection locked="0"/>
    </xf>
    <xf numFmtId="0" fontId="71" fillId="0" borderId="12" xfId="0" applyFont="1" applyBorder="1" applyAlignment="1" applyProtection="1">
      <alignment horizontal="left" vertical="center"/>
      <protection locked="0"/>
    </xf>
    <xf numFmtId="0" fontId="44" fillId="0" borderId="4" xfId="0" applyFont="1" applyBorder="1" applyProtection="1"/>
    <xf numFmtId="166" fontId="29" fillId="0" borderId="4" xfId="0" applyNumberFormat="1" applyFont="1" applyBorder="1" applyAlignment="1" applyProtection="1">
      <alignment horizontal="center"/>
    </xf>
    <xf numFmtId="0" fontId="32" fillId="0" borderId="4" xfId="0" applyFont="1" applyBorder="1" applyProtection="1"/>
    <xf numFmtId="0" fontId="36" fillId="25" borderId="4" xfId="0" applyFont="1" applyFill="1" applyBorder="1" applyAlignment="1">
      <alignment horizontal="center" vertical="center"/>
    </xf>
    <xf numFmtId="0" fontId="33" fillId="16" borderId="36" xfId="0" applyFont="1" applyFill="1" applyBorder="1" applyAlignment="1" applyProtection="1">
      <alignment horizontal="center" vertical="center"/>
      <protection locked="0"/>
    </xf>
    <xf numFmtId="0" fontId="33" fillId="30" borderId="13" xfId="0" applyFont="1" applyFill="1" applyBorder="1" applyAlignment="1" applyProtection="1">
      <protection locked="0"/>
    </xf>
    <xf numFmtId="166" fontId="38" fillId="16" borderId="4" xfId="0" applyNumberFormat="1" applyFont="1" applyFill="1" applyBorder="1" applyAlignment="1" applyProtection="1">
      <alignment horizontal="center" vertical="center"/>
      <protection locked="0"/>
    </xf>
    <xf numFmtId="0" fontId="46" fillId="20" borderId="4" xfId="0" applyFont="1" applyFill="1" applyBorder="1" applyAlignment="1" applyProtection="1">
      <alignment horizontal="center" vertical="center"/>
      <protection locked="0"/>
    </xf>
    <xf numFmtId="0" fontId="83" fillId="28" borderId="5" xfId="0" applyFont="1" applyFill="1" applyBorder="1" applyAlignment="1" applyProtection="1">
      <protection locked="0"/>
    </xf>
    <xf numFmtId="0" fontId="47" fillId="32" borderId="5" xfId="0" applyFont="1" applyFill="1" applyBorder="1" applyAlignment="1" applyProtection="1">
      <alignment horizontal="center" vertical="center"/>
    </xf>
    <xf numFmtId="166" fontId="33" fillId="32" borderId="12" xfId="0" applyNumberFormat="1" applyFont="1" applyFill="1" applyBorder="1" applyAlignment="1" applyProtection="1">
      <alignment horizontal="center" vertical="center"/>
    </xf>
    <xf numFmtId="0" fontId="22" fillId="25" borderId="4" xfId="0" applyFont="1" applyFill="1" applyBorder="1" applyAlignment="1" applyProtection="1">
      <alignment vertical="center"/>
      <protection locked="0"/>
    </xf>
    <xf numFmtId="0" fontId="36" fillId="32" borderId="4" xfId="0" applyFont="1" applyFill="1" applyBorder="1" applyAlignment="1">
      <alignment horizontal="center" vertical="center" wrapText="1"/>
    </xf>
    <xf numFmtId="164" fontId="45" fillId="0" borderId="0" xfId="1" applyNumberFormat="1" applyFont="1" applyAlignment="1" applyProtection="1">
      <alignment horizontal="right" vertical="center"/>
      <protection locked="0"/>
    </xf>
    <xf numFmtId="0" fontId="92" fillId="28" borderId="4" xfId="0" applyFont="1" applyFill="1" applyBorder="1" applyAlignment="1" applyProtection="1">
      <alignment horizontal="center" vertical="center"/>
      <protection locked="0"/>
    </xf>
    <xf numFmtId="0" fontId="31" fillId="36" borderId="0" xfId="0" applyFont="1" applyFill="1" applyAlignment="1" applyProtection="1">
      <alignment horizontal="right" vertical="top"/>
      <protection locked="0"/>
    </xf>
    <xf numFmtId="0" fontId="23" fillId="36" borderId="5" xfId="0" applyFont="1" applyFill="1" applyBorder="1" applyAlignment="1" applyProtection="1">
      <protection locked="0"/>
    </xf>
    <xf numFmtId="0" fontId="23" fillId="36" borderId="4" xfId="0" applyFont="1" applyFill="1" applyBorder="1" applyAlignment="1" applyProtection="1">
      <alignment horizontal="right" vertical="center"/>
    </xf>
    <xf numFmtId="0" fontId="23" fillId="36" borderId="4" xfId="0" applyFont="1" applyFill="1" applyBorder="1" applyAlignment="1" applyProtection="1">
      <alignment horizontal="left" vertical="center"/>
    </xf>
    <xf numFmtId="0" fontId="23" fillId="36" borderId="5" xfId="0" applyFont="1" applyFill="1" applyBorder="1" applyAlignment="1" applyProtection="1">
      <alignment horizontal="center" vertical="center"/>
    </xf>
    <xf numFmtId="0" fontId="23" fillId="36" borderId="12" xfId="0" applyFont="1" applyFill="1" applyBorder="1" applyAlignment="1" applyProtection="1">
      <alignment vertical="center"/>
    </xf>
    <xf numFmtId="0" fontId="23" fillId="36" borderId="4" xfId="0" applyFont="1" applyFill="1" applyBorder="1" applyAlignment="1" applyProtection="1">
      <alignment vertical="center"/>
      <protection locked="0"/>
    </xf>
    <xf numFmtId="0" fontId="38" fillId="36" borderId="4" xfId="0" applyFont="1" applyFill="1" applyBorder="1" applyAlignment="1" applyProtection="1">
      <alignment horizontal="center" vertical="center"/>
    </xf>
    <xf numFmtId="0" fontId="23" fillId="36" borderId="4" xfId="0" applyFont="1" applyFill="1" applyBorder="1" applyAlignment="1" applyProtection="1">
      <alignment horizontal="center" vertical="center"/>
      <protection locked="0"/>
    </xf>
    <xf numFmtId="166" fontId="24" fillId="36" borderId="5" xfId="0" applyNumberFormat="1" applyFont="1" applyFill="1" applyBorder="1" applyAlignment="1" applyProtection="1">
      <alignment horizontal="center"/>
    </xf>
    <xf numFmtId="0" fontId="0" fillId="36" borderId="4" xfId="0" applyFill="1" applyBorder="1" applyProtection="1"/>
    <xf numFmtId="166" fontId="0" fillId="36" borderId="4" xfId="0" applyNumberFormat="1" applyFill="1" applyBorder="1" applyAlignment="1" applyProtection="1">
      <alignment horizontal="center" vertical="center"/>
    </xf>
    <xf numFmtId="0" fontId="0" fillId="36" borderId="4" xfId="0" applyFill="1" applyBorder="1" applyProtection="1">
      <protection locked="0"/>
    </xf>
    <xf numFmtId="0" fontId="0" fillId="36" borderId="4" xfId="0" applyFill="1" applyBorder="1"/>
    <xf numFmtId="0" fontId="0" fillId="36" borderId="0" xfId="0" applyFill="1"/>
    <xf numFmtId="167" fontId="25" fillId="0" borderId="0" xfId="0" applyNumberFormat="1" applyFont="1" applyBorder="1" applyProtection="1">
      <protection locked="0"/>
    </xf>
    <xf numFmtId="3" fontId="36" fillId="0" borderId="15" xfId="0" applyNumberFormat="1" applyFont="1" applyBorder="1" applyAlignment="1" applyProtection="1">
      <alignment horizontal="center"/>
      <protection locked="0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4" fillId="0" borderId="4" xfId="0" applyFont="1" applyBorder="1"/>
    <xf numFmtId="0" fontId="3" fillId="4" borderId="4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4" fillId="0" borderId="5" xfId="0" applyFont="1" applyBorder="1"/>
    <xf numFmtId="0" fontId="44" fillId="0" borderId="5" xfId="0" applyFont="1" applyBorder="1" applyAlignment="1">
      <alignment horizontal="center"/>
    </xf>
    <xf numFmtId="0" fontId="44" fillId="0" borderId="12" xfId="0" applyFont="1" applyBorder="1" applyAlignment="1">
      <alignment horizontal="center"/>
    </xf>
    <xf numFmtId="0" fontId="44" fillId="0" borderId="4" xfId="0" applyFont="1" applyBorder="1" applyAlignment="1">
      <alignment horizontal="center"/>
    </xf>
    <xf numFmtId="0" fontId="44" fillId="30" borderId="4" xfId="0" applyFont="1" applyFill="1" applyBorder="1" applyAlignment="1">
      <alignment horizontal="center" vertical="center"/>
    </xf>
    <xf numFmtId="0" fontId="44" fillId="0" borderId="4" xfId="0" applyFont="1" applyBorder="1" applyAlignment="1">
      <alignment horizontal="center" vertical="center"/>
    </xf>
    <xf numFmtId="0" fontId="49" fillId="0" borderId="21" xfId="0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165" fontId="35" fillId="37" borderId="27" xfId="0" applyNumberFormat="1" applyFont="1" applyFill="1" applyBorder="1" applyAlignment="1" applyProtection="1">
      <alignment horizontal="center" vertical="center"/>
      <protection locked="0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9" fillId="0" borderId="24" xfId="0" applyFont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63" fillId="30" borderId="4" xfId="0" applyFont="1" applyFill="1" applyBorder="1" applyAlignment="1" applyProtection="1">
      <alignment horizontal="center" vertical="center"/>
      <protection locked="0"/>
    </xf>
    <xf numFmtId="0" fontId="46" fillId="28" borderId="19" xfId="0" applyFont="1" applyFill="1" applyBorder="1" applyAlignment="1" applyProtection="1">
      <alignment horizontal="center"/>
      <protection locked="0"/>
    </xf>
    <xf numFmtId="0" fontId="64" fillId="30" borderId="0" xfId="0" applyFont="1" applyFill="1" applyBorder="1" applyAlignment="1" applyProtection="1">
      <alignment horizontal="center" vertical="center"/>
      <protection locked="0"/>
    </xf>
    <xf numFmtId="0" fontId="64" fillId="30" borderId="15" xfId="0" applyFont="1" applyFill="1" applyBorder="1" applyAlignment="1" applyProtection="1">
      <alignment horizontal="center" vertical="center"/>
      <protection locked="0"/>
    </xf>
    <xf numFmtId="0" fontId="23" fillId="20" borderId="14" xfId="0" applyFont="1" applyFill="1" applyBorder="1" applyAlignment="1" applyProtection="1">
      <alignment horizontal="center" vertical="center"/>
      <protection locked="0"/>
    </xf>
    <xf numFmtId="0" fontId="36" fillId="30" borderId="4" xfId="0" applyFont="1" applyFill="1" applyBorder="1" applyAlignment="1">
      <alignment horizontal="center" vertical="center"/>
    </xf>
    <xf numFmtId="0" fontId="44" fillId="29" borderId="4" xfId="0" applyFont="1" applyFill="1" applyBorder="1" applyAlignment="1">
      <alignment horizontal="center" vertical="center"/>
    </xf>
    <xf numFmtId="0" fontId="36" fillId="40" borderId="4" xfId="0" applyFont="1" applyFill="1" applyBorder="1" applyAlignment="1">
      <alignment horizontal="center" vertical="center"/>
    </xf>
    <xf numFmtId="0" fontId="81" fillId="0" borderId="17" xfId="0" applyFont="1" applyBorder="1" applyAlignment="1" applyProtection="1">
      <alignment horizontal="left"/>
      <protection locked="0"/>
    </xf>
    <xf numFmtId="0" fontId="81" fillId="0" borderId="0" xfId="0" applyFont="1" applyBorder="1" applyAlignment="1" applyProtection="1">
      <alignment horizontal="left"/>
      <protection locked="0"/>
    </xf>
    <xf numFmtId="0" fontId="82" fillId="20" borderId="0" xfId="0" applyFont="1" applyFill="1" applyBorder="1" applyAlignment="1" applyProtection="1">
      <alignment horizontal="center" vertical="center"/>
      <protection locked="0"/>
    </xf>
    <xf numFmtId="0" fontId="24" fillId="20" borderId="0" xfId="0" applyFont="1" applyFill="1" applyBorder="1" applyAlignment="1" applyProtection="1">
      <alignment horizontal="center"/>
      <protection locked="0"/>
    </xf>
    <xf numFmtId="0" fontId="23" fillId="20" borderId="13" xfId="0" applyFont="1" applyFill="1" applyBorder="1" applyAlignment="1" applyProtection="1">
      <alignment horizontal="center"/>
      <protection locked="0"/>
    </xf>
    <xf numFmtId="0" fontId="82" fillId="14" borderId="5" xfId="0" applyFont="1" applyFill="1" applyBorder="1" applyAlignment="1">
      <alignment horizontal="center" vertical="center"/>
    </xf>
    <xf numFmtId="0" fontId="82" fillId="14" borderId="19" xfId="0" applyFont="1" applyFill="1" applyBorder="1" applyAlignment="1">
      <alignment horizontal="center" vertical="center"/>
    </xf>
    <xf numFmtId="0" fontId="82" fillId="14" borderId="12" xfId="0" applyFont="1" applyFill="1" applyBorder="1" applyAlignment="1">
      <alignment horizontal="center" vertical="center"/>
    </xf>
    <xf numFmtId="3" fontId="82" fillId="14" borderId="4" xfId="0" applyNumberFormat="1" applyFont="1" applyFill="1" applyBorder="1" applyAlignment="1">
      <alignment horizontal="center" vertical="center"/>
    </xf>
    <xf numFmtId="0" fontId="82" fillId="14" borderId="4" xfId="0" applyFont="1" applyFill="1" applyBorder="1" applyAlignment="1">
      <alignment horizontal="center" vertical="center"/>
    </xf>
    <xf numFmtId="0" fontId="81" fillId="30" borderId="32" xfId="0" applyFont="1" applyFill="1" applyBorder="1" applyAlignment="1">
      <alignment horizontal="center" vertical="center" wrapText="1"/>
    </xf>
    <xf numFmtId="0" fontId="81" fillId="30" borderId="33" xfId="0" applyFont="1" applyFill="1" applyBorder="1" applyAlignment="1">
      <alignment horizontal="center" vertical="center" wrapText="1"/>
    </xf>
    <xf numFmtId="0" fontId="81" fillId="14" borderId="0" xfId="0" applyFont="1" applyFill="1" applyBorder="1" applyAlignment="1">
      <alignment horizontal="center" vertical="center"/>
    </xf>
    <xf numFmtId="0" fontId="81" fillId="14" borderId="15" xfId="0" applyFont="1" applyFill="1" applyBorder="1" applyAlignment="1">
      <alignment horizontal="center" vertical="center"/>
    </xf>
    <xf numFmtId="0" fontId="47" fillId="33" borderId="4" xfId="0" applyFont="1" applyFill="1" applyBorder="1" applyAlignment="1" applyProtection="1">
      <alignment horizontal="center" vertical="center"/>
      <protection locked="0"/>
    </xf>
    <xf numFmtId="3" fontId="44" fillId="0" borderId="4" xfId="0" applyNumberFormat="1" applyFont="1" applyBorder="1" applyAlignment="1">
      <alignment horizontal="center" vertical="center"/>
    </xf>
    <xf numFmtId="166" fontId="44" fillId="0" borderId="4" xfId="0" applyNumberFormat="1" applyFont="1" applyBorder="1" applyAlignment="1">
      <alignment horizontal="center" vertical="center"/>
    </xf>
    <xf numFmtId="1" fontId="82" fillId="30" borderId="4" xfId="0" applyNumberFormat="1" applyFont="1" applyFill="1" applyBorder="1" applyAlignment="1">
      <alignment horizontal="center" vertical="center"/>
    </xf>
    <xf numFmtId="0" fontId="82" fillId="30" borderId="4" xfId="0" applyFont="1" applyFill="1" applyBorder="1" applyAlignment="1">
      <alignment horizontal="center" vertical="center"/>
    </xf>
    <xf numFmtId="0" fontId="44" fillId="14" borderId="4" xfId="0" applyFont="1" applyFill="1" applyBorder="1" applyAlignment="1">
      <alignment horizontal="right" vertical="center"/>
    </xf>
    <xf numFmtId="0" fontId="44" fillId="14" borderId="4" xfId="0" applyFont="1" applyFill="1" applyBorder="1" applyAlignment="1">
      <alignment horizontal="left" vertical="center"/>
    </xf>
    <xf numFmtId="0" fontId="22" fillId="25" borderId="5" xfId="0" applyFont="1" applyFill="1" applyBorder="1" applyAlignment="1" applyProtection="1">
      <alignment horizontal="center" vertical="center"/>
    </xf>
    <xf numFmtId="0" fontId="22" fillId="25" borderId="12" xfId="0" applyFont="1" applyFill="1" applyBorder="1" applyAlignment="1" applyProtection="1">
      <alignment horizontal="center" vertical="center"/>
    </xf>
    <xf numFmtId="0" fontId="22" fillId="25" borderId="5" xfId="0" applyFont="1" applyFill="1" applyBorder="1" applyAlignment="1" applyProtection="1">
      <alignment horizontal="center" vertical="center" wrapText="1"/>
    </xf>
    <xf numFmtId="0" fontId="22" fillId="25" borderId="12" xfId="0" applyFont="1" applyFill="1" applyBorder="1" applyAlignment="1" applyProtection="1">
      <alignment horizontal="center" vertical="center" wrapText="1"/>
    </xf>
    <xf numFmtId="0" fontId="22" fillId="25" borderId="5" xfId="0" applyFont="1" applyFill="1" applyBorder="1" applyAlignment="1" applyProtection="1">
      <alignment horizontal="center" vertical="center"/>
      <protection locked="0"/>
    </xf>
    <xf numFmtId="0" fontId="22" fillId="25" borderId="12" xfId="0" applyFont="1" applyFill="1" applyBorder="1" applyAlignment="1" applyProtection="1">
      <alignment horizontal="center" vertical="center"/>
      <protection locked="0"/>
    </xf>
    <xf numFmtId="0" fontId="22" fillId="25" borderId="0" xfId="0" applyFont="1" applyFill="1" applyBorder="1" applyAlignment="1" applyProtection="1">
      <alignment horizontal="center" vertical="center"/>
    </xf>
    <xf numFmtId="0" fontId="22" fillId="25" borderId="0" xfId="0" applyFont="1" applyFill="1" applyBorder="1" applyAlignment="1" applyProtection="1">
      <alignment horizontal="center" vertical="center" wrapText="1"/>
    </xf>
    <xf numFmtId="0" fontId="22" fillId="25" borderId="0" xfId="0" applyFont="1" applyFill="1" applyBorder="1" applyAlignment="1" applyProtection="1">
      <alignment horizontal="center" vertical="center"/>
      <protection locked="0"/>
    </xf>
    <xf numFmtId="0" fontId="30" fillId="30" borderId="13" xfId="0" applyFont="1" applyFill="1" applyBorder="1" applyAlignment="1" applyProtection="1">
      <alignment horizontal="right"/>
      <protection locked="0"/>
    </xf>
    <xf numFmtId="165" fontId="35" fillId="30" borderId="13" xfId="0" applyNumberFormat="1" applyFont="1" applyFill="1" applyBorder="1" applyAlignment="1" applyProtection="1">
      <alignment horizontal="left"/>
      <protection locked="0"/>
    </xf>
    <xf numFmtId="3" fontId="0" fillId="0" borderId="4" xfId="0" applyNumberFormat="1" applyBorder="1" applyAlignment="1">
      <alignment horizontal="center" vertical="center"/>
    </xf>
    <xf numFmtId="0" fontId="28" fillId="14" borderId="5" xfId="0" applyFont="1" applyFill="1" applyBorder="1" applyAlignment="1" applyProtection="1">
      <alignment horizontal="center" vertical="center" wrapText="1"/>
    </xf>
    <xf numFmtId="0" fontId="28" fillId="14" borderId="12" xfId="0" applyFont="1" applyFill="1" applyBorder="1" applyAlignment="1" applyProtection="1">
      <alignment horizontal="center" vertical="center" wrapText="1"/>
    </xf>
    <xf numFmtId="0" fontId="47" fillId="29" borderId="19" xfId="0" applyFont="1" applyFill="1" applyBorder="1" applyAlignment="1" applyProtection="1">
      <alignment horizontal="center" vertical="center"/>
    </xf>
    <xf numFmtId="0" fontId="47" fillId="29" borderId="12" xfId="0" applyFont="1" applyFill="1" applyBorder="1" applyAlignment="1" applyProtection="1">
      <alignment horizontal="center" vertical="center"/>
    </xf>
    <xf numFmtId="0" fontId="65" fillId="20" borderId="0" xfId="0" applyFont="1" applyFill="1" applyBorder="1" applyAlignment="1" applyProtection="1">
      <alignment horizontal="right" vertical="center"/>
    </xf>
    <xf numFmtId="0" fontId="65" fillId="20" borderId="15" xfId="0" applyFont="1" applyFill="1" applyBorder="1" applyAlignment="1" applyProtection="1">
      <alignment horizontal="right" vertical="center"/>
    </xf>
    <xf numFmtId="0" fontId="31" fillId="20" borderId="0" xfId="0" applyFont="1" applyFill="1" applyBorder="1" applyAlignment="1" applyProtection="1">
      <alignment horizontal="center" vertical="center" wrapText="1"/>
    </xf>
    <xf numFmtId="0" fontId="77" fillId="14" borderId="5" xfId="0" applyFont="1" applyFill="1" applyBorder="1" applyAlignment="1">
      <alignment horizontal="center" vertical="center"/>
    </xf>
    <xf numFmtId="0" fontId="77" fillId="14" borderId="19" xfId="0" applyFont="1" applyFill="1" applyBorder="1" applyAlignment="1">
      <alignment horizontal="center" vertical="center"/>
    </xf>
    <xf numFmtId="0" fontId="77" fillId="14" borderId="12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9" fontId="25" fillId="32" borderId="4" xfId="0" applyNumberFormat="1" applyFont="1" applyFill="1" applyBorder="1" applyAlignment="1">
      <alignment horizontal="center" vertical="center"/>
    </xf>
    <xf numFmtId="0" fontId="47" fillId="30" borderId="5" xfId="0" applyFont="1" applyFill="1" applyBorder="1" applyAlignment="1" applyProtection="1">
      <alignment horizontal="right" vertical="center"/>
      <protection locked="0"/>
    </xf>
    <xf numFmtId="0" fontId="47" fillId="30" borderId="19" xfId="0" applyFont="1" applyFill="1" applyBorder="1" applyAlignment="1" applyProtection="1">
      <alignment horizontal="right" vertical="center"/>
      <protection locked="0"/>
    </xf>
    <xf numFmtId="0" fontId="47" fillId="30" borderId="12" xfId="0" applyFont="1" applyFill="1" applyBorder="1" applyAlignment="1" applyProtection="1">
      <alignment horizontal="right" vertical="center"/>
      <protection locked="0"/>
    </xf>
    <xf numFmtId="0" fontId="47" fillId="30" borderId="4" xfId="0" applyFont="1" applyFill="1" applyBorder="1" applyAlignment="1" applyProtection="1">
      <alignment horizontal="center"/>
      <protection locked="0"/>
    </xf>
    <xf numFmtId="0" fontId="22" fillId="20" borderId="0" xfId="0" applyFont="1" applyFill="1" applyBorder="1" applyAlignment="1" applyProtection="1">
      <alignment horizontal="center" vertical="center"/>
      <protection locked="0"/>
    </xf>
    <xf numFmtId="0" fontId="46" fillId="30" borderId="5" xfId="0" applyFont="1" applyFill="1" applyBorder="1" applyAlignment="1" applyProtection="1">
      <alignment horizontal="center" vertical="center"/>
    </xf>
    <xf numFmtId="0" fontId="46" fillId="30" borderId="19" xfId="0" applyFont="1" applyFill="1" applyBorder="1" applyAlignment="1" applyProtection="1">
      <alignment horizontal="center" vertical="center"/>
    </xf>
    <xf numFmtId="0" fontId="28" fillId="25" borderId="5" xfId="0" applyFont="1" applyFill="1" applyBorder="1" applyAlignment="1" applyProtection="1">
      <alignment horizontal="center" vertical="center" wrapText="1"/>
    </xf>
    <xf numFmtId="0" fontId="28" fillId="25" borderId="12" xfId="0" applyFont="1" applyFill="1" applyBorder="1" applyAlignment="1" applyProtection="1">
      <alignment horizontal="center" vertical="center" wrapText="1"/>
    </xf>
    <xf numFmtId="0" fontId="43" fillId="20" borderId="4" xfId="0" applyFont="1" applyFill="1" applyBorder="1" applyAlignment="1" applyProtection="1">
      <alignment vertical="center"/>
    </xf>
    <xf numFmtId="0" fontId="47" fillId="42" borderId="5" xfId="0" applyFont="1" applyFill="1" applyBorder="1" applyAlignment="1" applyProtection="1">
      <alignment vertical="center"/>
    </xf>
    <xf numFmtId="0" fontId="47" fillId="42" borderId="19" xfId="0" applyFont="1" applyFill="1" applyBorder="1" applyAlignment="1" applyProtection="1">
      <alignment vertical="center"/>
    </xf>
    <xf numFmtId="0" fontId="47" fillId="36" borderId="17" xfId="0" applyFont="1" applyFill="1" applyBorder="1" applyAlignment="1" applyProtection="1">
      <alignment horizontal="center" vertical="center"/>
    </xf>
    <xf numFmtId="0" fontId="47" fillId="36" borderId="0" xfId="0" applyFont="1" applyFill="1" applyBorder="1" applyAlignment="1" applyProtection="1">
      <alignment horizontal="center" vertical="center"/>
    </xf>
    <xf numFmtId="0" fontId="47" fillId="36" borderId="15" xfId="0" applyFont="1" applyFill="1" applyBorder="1" applyAlignment="1" applyProtection="1">
      <alignment horizontal="center" vertical="center"/>
    </xf>
    <xf numFmtId="0" fontId="68" fillId="30" borderId="19" xfId="0" applyFont="1" applyFill="1" applyBorder="1" applyAlignment="1" applyProtection="1">
      <alignment horizontal="right"/>
      <protection locked="0"/>
    </xf>
    <xf numFmtId="165" fontId="35" fillId="30" borderId="19" xfId="0" applyNumberFormat="1" applyFont="1" applyFill="1" applyBorder="1" applyAlignment="1" applyProtection="1">
      <alignment horizontal="left"/>
      <protection locked="0"/>
    </xf>
    <xf numFmtId="0" fontId="47" fillId="36" borderId="5" xfId="0" applyFont="1" applyFill="1" applyBorder="1" applyAlignment="1" applyProtection="1">
      <alignment vertical="center"/>
    </xf>
    <xf numFmtId="0" fontId="47" fillId="36" borderId="19" xfId="0" applyFont="1" applyFill="1" applyBorder="1" applyAlignment="1" applyProtection="1">
      <alignment vertical="center"/>
    </xf>
    <xf numFmtId="0" fontId="45" fillId="14" borderId="13" xfId="0" applyFont="1" applyFill="1" applyBorder="1" applyAlignment="1" applyProtection="1">
      <alignment horizontal="right"/>
      <protection locked="0"/>
    </xf>
    <xf numFmtId="0" fontId="77" fillId="36" borderId="13" xfId="0" applyFont="1" applyFill="1" applyBorder="1" applyAlignment="1" applyProtection="1">
      <alignment horizontal="left"/>
      <protection locked="0"/>
    </xf>
    <xf numFmtId="0" fontId="22" fillId="14" borderId="5" xfId="0" applyFont="1" applyFill="1" applyBorder="1" applyAlignment="1" applyProtection="1">
      <alignment horizontal="center" vertical="center"/>
    </xf>
    <xf numFmtId="0" fontId="22" fillId="14" borderId="12" xfId="0" applyFont="1" applyFill="1" applyBorder="1" applyAlignment="1" applyProtection="1">
      <alignment horizontal="center" vertical="center"/>
    </xf>
    <xf numFmtId="0" fontId="25" fillId="0" borderId="0" xfId="0" applyFont="1" applyBorder="1" applyAlignment="1" applyProtection="1">
      <alignment horizontal="center"/>
      <protection locked="0"/>
    </xf>
    <xf numFmtId="0" fontId="31" fillId="31" borderId="5" xfId="0" applyFont="1" applyFill="1" applyBorder="1" applyAlignment="1" applyProtection="1">
      <alignment horizontal="center" vertical="center"/>
      <protection locked="0"/>
    </xf>
    <xf numFmtId="0" fontId="31" fillId="31" borderId="12" xfId="0" applyFont="1" applyFill="1" applyBorder="1" applyAlignment="1" applyProtection="1">
      <alignment horizontal="center" vertical="center"/>
      <protection locked="0"/>
    </xf>
    <xf numFmtId="0" fontId="45" fillId="14" borderId="5" xfId="0" applyFont="1" applyFill="1" applyBorder="1" applyAlignment="1">
      <alignment horizontal="center" vertical="center"/>
    </xf>
    <xf numFmtId="0" fontId="45" fillId="14" borderId="19" xfId="0" applyFont="1" applyFill="1" applyBorder="1" applyAlignment="1">
      <alignment horizontal="center" vertical="center"/>
    </xf>
    <xf numFmtId="0" fontId="45" fillId="14" borderId="12" xfId="0" applyFont="1" applyFill="1" applyBorder="1" applyAlignment="1">
      <alignment horizontal="center" vertical="center"/>
    </xf>
    <xf numFmtId="0" fontId="5" fillId="33" borderId="0" xfId="0" applyFont="1" applyFill="1" applyAlignment="1" applyProtection="1">
      <alignment horizontal="left" vertical="center"/>
      <protection locked="0"/>
    </xf>
    <xf numFmtId="0" fontId="5" fillId="33" borderId="17" xfId="0" applyFont="1" applyFill="1" applyBorder="1" applyAlignment="1" applyProtection="1">
      <alignment horizontal="center" vertical="center"/>
      <protection locked="0"/>
    </xf>
    <xf numFmtId="0" fontId="5" fillId="33" borderId="0" xfId="0" applyFont="1" applyFill="1" applyAlignment="1" applyProtection="1">
      <alignment horizontal="center" vertical="center"/>
      <protection locked="0"/>
    </xf>
    <xf numFmtId="0" fontId="77" fillId="0" borderId="0" xfId="0" applyFont="1" applyBorder="1" applyAlignment="1" applyProtection="1">
      <alignment horizontal="left" vertical="center" wrapText="1"/>
      <protection locked="0"/>
    </xf>
    <xf numFmtId="169" fontId="0" fillId="0" borderId="4" xfId="0" applyNumberFormat="1" applyBorder="1" applyAlignment="1">
      <alignment horizontal="center" vertical="center"/>
    </xf>
    <xf numFmtId="170" fontId="45" fillId="36" borderId="13" xfId="0" applyNumberFormat="1" applyFont="1" applyFill="1" applyBorder="1" applyAlignment="1">
      <alignment horizontal="center" vertical="center"/>
    </xf>
    <xf numFmtId="170" fontId="25" fillId="36" borderId="13" xfId="0" applyNumberFormat="1" applyFont="1" applyFill="1" applyBorder="1" applyAlignment="1">
      <alignment horizontal="center" vertical="center"/>
    </xf>
    <xf numFmtId="0" fontId="25" fillId="32" borderId="5" xfId="0" applyFont="1" applyFill="1" applyBorder="1" applyAlignment="1">
      <alignment horizontal="center" vertical="center"/>
    </xf>
    <xf numFmtId="0" fontId="25" fillId="32" borderId="19" xfId="0" applyFont="1" applyFill="1" applyBorder="1" applyAlignment="1">
      <alignment horizontal="center" vertical="center"/>
    </xf>
    <xf numFmtId="0" fontId="25" fillId="32" borderId="12" xfId="0" applyFont="1" applyFill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0" fontId="22" fillId="20" borderId="13" xfId="0" applyFont="1" applyFill="1" applyBorder="1" applyAlignment="1" applyProtection="1">
      <alignment horizontal="center" vertical="center"/>
      <protection locked="0"/>
    </xf>
    <xf numFmtId="0" fontId="47" fillId="26" borderId="5" xfId="0" applyFont="1" applyFill="1" applyBorder="1" applyAlignment="1" applyProtection="1">
      <alignment horizontal="center" vertical="center"/>
      <protection locked="0"/>
    </xf>
    <xf numFmtId="0" fontId="47" fillId="26" borderId="19" xfId="0" applyFont="1" applyFill="1" applyBorder="1" applyAlignment="1" applyProtection="1">
      <alignment horizontal="center" vertical="center"/>
      <protection locked="0"/>
    </xf>
    <xf numFmtId="0" fontId="47" fillId="30" borderId="0" xfId="0" applyFont="1" applyFill="1" applyBorder="1" applyAlignment="1" applyProtection="1">
      <alignment horizontal="center"/>
      <protection locked="0"/>
    </xf>
    <xf numFmtId="0" fontId="47" fillId="30" borderId="15" xfId="0" applyFont="1" applyFill="1" applyBorder="1" applyAlignment="1" applyProtection="1">
      <alignment horizontal="center"/>
      <protection locked="0"/>
    </xf>
    <xf numFmtId="0" fontId="47" fillId="29" borderId="5" xfId="0" applyFont="1" applyFill="1" applyBorder="1" applyAlignment="1" applyProtection="1">
      <alignment horizontal="right" vertical="center" wrapText="1"/>
      <protection locked="0"/>
    </xf>
    <xf numFmtId="0" fontId="47" fillId="29" borderId="19" xfId="0" applyFont="1" applyFill="1" applyBorder="1" applyAlignment="1" applyProtection="1">
      <alignment horizontal="right" vertical="center" wrapText="1"/>
      <protection locked="0"/>
    </xf>
    <xf numFmtId="0" fontId="47" fillId="29" borderId="17" xfId="0" applyFont="1" applyFill="1" applyBorder="1" applyAlignment="1" applyProtection="1">
      <alignment horizontal="right" vertical="center"/>
      <protection locked="0"/>
    </xf>
    <xf numFmtId="0" fontId="47" fillId="29" borderId="28" xfId="0" applyFont="1" applyFill="1" applyBorder="1" applyAlignment="1" applyProtection="1">
      <alignment horizontal="right" vertical="center"/>
      <protection locked="0"/>
    </xf>
    <xf numFmtId="164" fontId="23" fillId="20" borderId="13" xfId="0" applyNumberFormat="1" applyFont="1" applyFill="1" applyBorder="1" applyAlignment="1" applyProtection="1">
      <alignment horizontal="center" vertical="center"/>
      <protection locked="0"/>
    </xf>
    <xf numFmtId="0" fontId="23" fillId="20" borderId="13" xfId="0" applyFont="1" applyFill="1" applyBorder="1" applyAlignment="1" applyProtection="1">
      <alignment horizontal="center" vertical="center"/>
      <protection locked="0"/>
    </xf>
    <xf numFmtId="164" fontId="47" fillId="26" borderId="19" xfId="0" applyNumberFormat="1" applyFont="1" applyFill="1" applyBorder="1" applyAlignment="1" applyProtection="1">
      <alignment horizontal="center" vertical="center"/>
      <protection locked="0"/>
    </xf>
    <xf numFmtId="0" fontId="47" fillId="26" borderId="12" xfId="0" applyFont="1" applyFill="1" applyBorder="1" applyAlignment="1" applyProtection="1">
      <alignment horizontal="center" vertical="center"/>
      <protection locked="0"/>
    </xf>
    <xf numFmtId="0" fontId="64" fillId="28" borderId="0" xfId="0" applyFont="1" applyFill="1" applyBorder="1" applyAlignment="1" applyProtection="1">
      <alignment horizontal="center"/>
      <protection locked="0"/>
    </xf>
    <xf numFmtId="0" fontId="64" fillId="28" borderId="15" xfId="0" applyFont="1" applyFill="1" applyBorder="1" applyAlignment="1" applyProtection="1">
      <alignment horizontal="center"/>
      <protection locked="0"/>
    </xf>
    <xf numFmtId="168" fontId="45" fillId="14" borderId="13" xfId="0" applyNumberFormat="1" applyFont="1" applyFill="1" applyBorder="1" applyAlignment="1">
      <alignment horizontal="center" vertical="center"/>
    </xf>
    <xf numFmtId="0" fontId="77" fillId="20" borderId="0" xfId="0" applyFont="1" applyFill="1" applyBorder="1" applyAlignment="1" applyProtection="1">
      <alignment horizontal="center"/>
      <protection locked="0"/>
    </xf>
    <xf numFmtId="0" fontId="45" fillId="0" borderId="5" xfId="0" applyFont="1" applyBorder="1" applyAlignment="1">
      <alignment horizontal="center" vertical="center"/>
    </xf>
    <xf numFmtId="0" fontId="45" fillId="0" borderId="19" xfId="0" applyFont="1" applyBorder="1" applyAlignment="1">
      <alignment horizontal="center" vertical="center"/>
    </xf>
    <xf numFmtId="0" fontId="45" fillId="0" borderId="12" xfId="0" applyFont="1" applyBorder="1" applyAlignment="1">
      <alignment horizontal="center" vertical="center"/>
    </xf>
    <xf numFmtId="3" fontId="46" fillId="20" borderId="4" xfId="0" applyNumberFormat="1" applyFont="1" applyFill="1" applyBorder="1" applyAlignment="1" applyProtection="1">
      <alignment horizontal="center" vertical="center"/>
      <protection locked="0"/>
    </xf>
    <xf numFmtId="0" fontId="46" fillId="20" borderId="4" xfId="0" applyFont="1" applyFill="1" applyBorder="1" applyAlignment="1" applyProtection="1">
      <alignment horizontal="center" vertical="center"/>
      <protection locked="0"/>
    </xf>
    <xf numFmtId="0" fontId="47" fillId="36" borderId="5" xfId="0" applyFont="1" applyFill="1" applyBorder="1" applyAlignment="1" applyProtection="1">
      <alignment horizontal="center"/>
      <protection locked="0"/>
    </xf>
    <xf numFmtId="0" fontId="47" fillId="36" borderId="19" xfId="0" applyFont="1" applyFill="1" applyBorder="1" applyAlignment="1" applyProtection="1">
      <alignment horizontal="center"/>
      <protection locked="0"/>
    </xf>
    <xf numFmtId="0" fontId="47" fillId="36" borderId="12" xfId="0" applyFont="1" applyFill="1" applyBorder="1" applyAlignment="1" applyProtection="1">
      <alignment horizontal="center"/>
      <protection locked="0"/>
    </xf>
    <xf numFmtId="0" fontId="47" fillId="28" borderId="14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center" vertical="center"/>
    </xf>
    <xf numFmtId="0" fontId="45" fillId="0" borderId="4" xfId="0" applyFont="1" applyBorder="1" applyAlignment="1">
      <alignment horizontal="center" vertical="center"/>
    </xf>
    <xf numFmtId="3" fontId="45" fillId="0" borderId="4" xfId="0" applyNumberFormat="1" applyFont="1" applyBorder="1" applyAlignment="1">
      <alignment horizontal="center" vertical="center"/>
    </xf>
    <xf numFmtId="0" fontId="77" fillId="36" borderId="5" xfId="0" applyFont="1" applyFill="1" applyBorder="1" applyAlignment="1">
      <alignment horizontal="center" vertical="center"/>
    </xf>
    <xf numFmtId="0" fontId="77" fillId="36" borderId="19" xfId="0" applyFont="1" applyFill="1" applyBorder="1" applyAlignment="1">
      <alignment horizontal="center" vertical="center"/>
    </xf>
    <xf numFmtId="0" fontId="77" fillId="36" borderId="12" xfId="0" applyFont="1" applyFill="1" applyBorder="1" applyAlignment="1">
      <alignment horizontal="center" vertical="center"/>
    </xf>
    <xf numFmtId="166" fontId="45" fillId="0" borderId="4" xfId="0" applyNumberFormat="1" applyFont="1" applyBorder="1" applyAlignment="1">
      <alignment horizontal="center" vertical="center"/>
    </xf>
    <xf numFmtId="0" fontId="47" fillId="28" borderId="19" xfId="0" applyFont="1" applyFill="1" applyBorder="1" applyAlignment="1" applyProtection="1">
      <alignment horizontal="center"/>
      <protection locked="0"/>
    </xf>
    <xf numFmtId="0" fontId="23" fillId="20" borderId="0" xfId="0" applyFont="1" applyFill="1" applyBorder="1" applyAlignment="1" applyProtection="1">
      <alignment horizontal="center"/>
      <protection locked="0"/>
    </xf>
    <xf numFmtId="0" fontId="47" fillId="33" borderId="18" xfId="0" applyFont="1" applyFill="1" applyBorder="1" applyAlignment="1" applyProtection="1">
      <alignment horizontal="center" vertical="center"/>
      <protection locked="0"/>
    </xf>
  </cellXfs>
  <cellStyles count="4">
    <cellStyle name="Bad" xfId="2" builtinId="27"/>
    <cellStyle name="Calculation" xfId="3" builtinId="22"/>
    <cellStyle name="Comma" xfId="1" builtinId="3"/>
    <cellStyle name="Normal" xfId="0" builtinId="0"/>
  </cellStyles>
  <dxfs count="5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9F87"/>
      <color rgb="FF5C9CE2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182880</xdr:colOff>
      <xdr:row>2</xdr:row>
      <xdr:rowOff>15240</xdr:rowOff>
    </xdr:from>
    <xdr:to>
      <xdr:col>24</xdr:col>
      <xdr:colOff>571500</xdr:colOff>
      <xdr:row>3</xdr:row>
      <xdr:rowOff>182880</xdr:rowOff>
    </xdr:to>
    <xdr:sp macro="[0]!Module12.saveinvo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F75F4BC-B92A-44DF-9754-45F9C51DF993}"/>
            </a:ext>
          </a:extLst>
        </xdr:cNvPr>
        <xdr:cNvSpPr/>
      </xdr:nvSpPr>
      <xdr:spPr>
        <a:xfrm>
          <a:off x="11376660" y="723900"/>
          <a:ext cx="1607820" cy="6705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SAVE FILE</a:t>
          </a:r>
          <a:r>
            <a:rPr lang="en-US" sz="1600" baseline="0"/>
            <a:t> PDF</a:t>
          </a:r>
          <a:endParaRPr lang="en-US" sz="1600"/>
        </a:p>
      </xdr:txBody>
    </xdr:sp>
    <xdr:clientData/>
  </xdr:twoCellAnchor>
  <xdr:twoCellAnchor>
    <xdr:from>
      <xdr:col>22</xdr:col>
      <xdr:colOff>358140</xdr:colOff>
      <xdr:row>4</xdr:row>
      <xdr:rowOff>205740</xdr:rowOff>
    </xdr:from>
    <xdr:to>
      <xdr:col>24</xdr:col>
      <xdr:colOff>586740</xdr:colOff>
      <xdr:row>7</xdr:row>
      <xdr:rowOff>281940</xdr:rowOff>
    </xdr:to>
    <xdr:sp macro="[0]!Macro6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F6453C7-0C2D-4AD8-BEA5-FA7C1E0FC957}"/>
            </a:ext>
          </a:extLst>
        </xdr:cNvPr>
        <xdr:cNvSpPr/>
      </xdr:nvSpPr>
      <xdr:spPr>
        <a:xfrm>
          <a:off x="11536680" y="1706880"/>
          <a:ext cx="1447800" cy="65532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CLEAR CONTAINT</a:t>
          </a:r>
        </a:p>
      </xdr:txBody>
    </xdr:sp>
    <xdr:clientData/>
  </xdr:twoCellAnchor>
  <xdr:twoCellAnchor>
    <xdr:from>
      <xdr:col>14</xdr:col>
      <xdr:colOff>426721</xdr:colOff>
      <xdr:row>7</xdr:row>
      <xdr:rowOff>152400</xdr:rowOff>
    </xdr:from>
    <xdr:to>
      <xdr:col>14</xdr:col>
      <xdr:colOff>472440</xdr:colOff>
      <xdr:row>7</xdr:row>
      <xdr:rowOff>198119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BE2ABBA-A011-4CCC-ADBA-050A03DDC8EF}"/>
            </a:ext>
          </a:extLst>
        </xdr:cNvPr>
        <xdr:cNvSpPr txBox="1"/>
      </xdr:nvSpPr>
      <xdr:spPr>
        <a:xfrm>
          <a:off x="8404861" y="2232660"/>
          <a:ext cx="4571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22</xdr:col>
      <xdr:colOff>381000</xdr:colOff>
      <xdr:row>8</xdr:row>
      <xdr:rowOff>259080</xdr:rowOff>
    </xdr:from>
    <xdr:to>
      <xdr:col>25</xdr:col>
      <xdr:colOff>53340</xdr:colOff>
      <xdr:row>12</xdr:row>
      <xdr:rowOff>15240</xdr:rowOff>
    </xdr:to>
    <xdr:sp macro="[0]!Module13.invoiceauto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6FC8956-803B-4AC1-9496-55C2A1AA2F46}"/>
            </a:ext>
          </a:extLst>
        </xdr:cNvPr>
        <xdr:cNvSpPr/>
      </xdr:nvSpPr>
      <xdr:spPr>
        <a:xfrm>
          <a:off x="11559540" y="2628900"/>
          <a:ext cx="1501140" cy="62484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NEW INVOICE NO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129540</xdr:colOff>
      <xdr:row>2</xdr:row>
      <xdr:rowOff>263769</xdr:rowOff>
    </xdr:from>
    <xdr:to>
      <xdr:col>25</xdr:col>
      <xdr:colOff>38100</xdr:colOff>
      <xdr:row>4</xdr:row>
      <xdr:rowOff>169985</xdr:rowOff>
    </xdr:to>
    <xdr:sp macro="[0]!Module11.saveinvoic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989820" y="827649"/>
          <a:ext cx="1127760" cy="454856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Save</a:t>
          </a:r>
          <a:r>
            <a:rPr lang="en-US" sz="1200" baseline="0"/>
            <a:t> </a:t>
          </a:r>
          <a:r>
            <a:rPr lang="en-US" sz="1600" baseline="0"/>
            <a:t>File</a:t>
          </a:r>
          <a:r>
            <a:rPr lang="en-US" sz="1200" baseline="0"/>
            <a:t> pdf</a:t>
          </a:r>
          <a:endParaRPr lang="en-US" sz="1200"/>
        </a:p>
      </xdr:txBody>
    </xdr:sp>
    <xdr:clientData/>
  </xdr:twoCellAnchor>
  <xdr:twoCellAnchor>
    <xdr:from>
      <xdr:col>23</xdr:col>
      <xdr:colOff>83820</xdr:colOff>
      <xdr:row>6</xdr:row>
      <xdr:rowOff>53009</xdr:rowOff>
    </xdr:from>
    <xdr:to>
      <xdr:col>25</xdr:col>
      <xdr:colOff>38100</xdr:colOff>
      <xdr:row>8</xdr:row>
      <xdr:rowOff>112644</xdr:rowOff>
    </xdr:to>
    <xdr:sp macro="Macro8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9944100" y="1577009"/>
          <a:ext cx="1173480" cy="47111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Clear containts</a:t>
          </a:r>
        </a:p>
      </xdr:txBody>
    </xdr:sp>
    <xdr:clientData/>
  </xdr:twoCellAnchor>
  <xdr:twoCellAnchor>
    <xdr:from>
      <xdr:col>23</xdr:col>
      <xdr:colOff>129540</xdr:colOff>
      <xdr:row>10</xdr:row>
      <xdr:rowOff>30480</xdr:rowOff>
    </xdr:from>
    <xdr:to>
      <xdr:col>25</xdr:col>
      <xdr:colOff>259080</xdr:colOff>
      <xdr:row>12</xdr:row>
      <xdr:rowOff>121920</xdr:rowOff>
    </xdr:to>
    <xdr:sp macro="[0]!invoiceautogenerate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1529060" y="2377440"/>
          <a:ext cx="1348740" cy="5029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New invoiceq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182880</xdr:colOff>
      <xdr:row>2</xdr:row>
      <xdr:rowOff>15240</xdr:rowOff>
    </xdr:from>
    <xdr:to>
      <xdr:col>21</xdr:col>
      <xdr:colOff>571500</xdr:colOff>
      <xdr:row>3</xdr:row>
      <xdr:rowOff>182880</xdr:rowOff>
    </xdr:to>
    <xdr:sp macro="[0]!Module12.save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D62C30E-1B85-4376-B003-DDAE24F336E2}"/>
            </a:ext>
          </a:extLst>
        </xdr:cNvPr>
        <xdr:cNvSpPr/>
      </xdr:nvSpPr>
      <xdr:spPr>
        <a:xfrm>
          <a:off x="11330940" y="723900"/>
          <a:ext cx="1607820" cy="6705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SAVE FILE</a:t>
          </a:r>
          <a:r>
            <a:rPr lang="en-US" sz="1600" baseline="0"/>
            <a:t> PDF</a:t>
          </a:r>
          <a:endParaRPr lang="en-US" sz="1600"/>
        </a:p>
      </xdr:txBody>
    </xdr:sp>
    <xdr:clientData/>
  </xdr:twoCellAnchor>
  <xdr:twoCellAnchor>
    <xdr:from>
      <xdr:col>19</xdr:col>
      <xdr:colOff>358140</xdr:colOff>
      <xdr:row>4</xdr:row>
      <xdr:rowOff>205740</xdr:rowOff>
    </xdr:from>
    <xdr:to>
      <xdr:col>21</xdr:col>
      <xdr:colOff>586740</xdr:colOff>
      <xdr:row>6</xdr:row>
      <xdr:rowOff>281940</xdr:rowOff>
    </xdr:to>
    <xdr:sp macro="[0]!RectangleRoundedCorners3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A0B12C6-F0C0-420D-B686-50BDEE83C327}"/>
            </a:ext>
          </a:extLst>
        </xdr:cNvPr>
        <xdr:cNvSpPr/>
      </xdr:nvSpPr>
      <xdr:spPr>
        <a:xfrm>
          <a:off x="11506200" y="1706880"/>
          <a:ext cx="1447800" cy="65532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CLEAR CONTAINT</a:t>
          </a:r>
        </a:p>
      </xdr:txBody>
    </xdr:sp>
    <xdr:clientData/>
  </xdr:twoCellAnchor>
  <xdr:twoCellAnchor>
    <xdr:from>
      <xdr:col>14</xdr:col>
      <xdr:colOff>426721</xdr:colOff>
      <xdr:row>6</xdr:row>
      <xdr:rowOff>152400</xdr:rowOff>
    </xdr:from>
    <xdr:to>
      <xdr:col>14</xdr:col>
      <xdr:colOff>472440</xdr:colOff>
      <xdr:row>6</xdr:row>
      <xdr:rowOff>198119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028A796-58E2-4CFC-8241-DE5C3B1465C8}"/>
            </a:ext>
          </a:extLst>
        </xdr:cNvPr>
        <xdr:cNvSpPr txBox="1"/>
      </xdr:nvSpPr>
      <xdr:spPr>
        <a:xfrm>
          <a:off x="8374381" y="2232660"/>
          <a:ext cx="4571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19</xdr:col>
      <xdr:colOff>381000</xdr:colOff>
      <xdr:row>7</xdr:row>
      <xdr:rowOff>259080</xdr:rowOff>
    </xdr:from>
    <xdr:to>
      <xdr:col>22</xdr:col>
      <xdr:colOff>53340</xdr:colOff>
      <xdr:row>10</xdr:row>
      <xdr:rowOff>15240</xdr:rowOff>
    </xdr:to>
    <xdr:sp macro="[0]!Module13.invoiceautogenerat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76AF8B5-F958-49C9-91A9-9A336271321A}"/>
            </a:ext>
          </a:extLst>
        </xdr:cNvPr>
        <xdr:cNvSpPr/>
      </xdr:nvSpPr>
      <xdr:spPr>
        <a:xfrm>
          <a:off x="11529060" y="2628900"/>
          <a:ext cx="1501140" cy="62484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NEW INVOICE NO</a:t>
          </a:r>
        </a:p>
      </xdr:txBody>
    </xdr:sp>
    <xdr:clientData/>
  </xdr:twoCellAnchor>
  <xdr:twoCellAnchor>
    <xdr:from>
      <xdr:col>14</xdr:col>
      <xdr:colOff>426721</xdr:colOff>
      <xdr:row>99</xdr:row>
      <xdr:rowOff>152400</xdr:rowOff>
    </xdr:from>
    <xdr:to>
      <xdr:col>14</xdr:col>
      <xdr:colOff>472440</xdr:colOff>
      <xdr:row>99</xdr:row>
      <xdr:rowOff>198119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7BF5661-6E95-49EF-A4A5-F89C7C70DA2D}"/>
            </a:ext>
          </a:extLst>
        </xdr:cNvPr>
        <xdr:cNvSpPr txBox="1"/>
      </xdr:nvSpPr>
      <xdr:spPr>
        <a:xfrm>
          <a:off x="8374381" y="2232660"/>
          <a:ext cx="4571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7"/>
  <sheetViews>
    <sheetView view="pageBreakPreview" zoomScale="115" zoomScaleNormal="124" zoomScaleSheetLayoutView="115" workbookViewId="0">
      <pane ySplit="1" topLeftCell="A2" activePane="bottomLeft" state="frozen"/>
      <selection pane="bottomLeft" activeCell="E77" sqref="E77"/>
    </sheetView>
  </sheetViews>
  <sheetFormatPr defaultRowHeight="14.4" x14ac:dyDescent="0.3"/>
  <cols>
    <col min="1" max="1" width="4.33203125" customWidth="1"/>
    <col min="2" max="2" width="21" customWidth="1"/>
    <col min="3" max="3" width="5.33203125" customWidth="1"/>
    <col min="4" max="4" width="3.21875" customWidth="1"/>
    <col min="5" max="5" width="8.88671875" customWidth="1"/>
    <col min="6" max="6" width="22.88671875" customWidth="1"/>
    <col min="7" max="7" width="4.77734375" customWidth="1"/>
    <col min="8" max="8" width="5.33203125" style="36" customWidth="1"/>
    <col min="9" max="9" width="7.77734375" customWidth="1"/>
    <col min="10" max="10" width="21.21875" customWidth="1"/>
    <col min="11" max="11" width="6.6640625" customWidth="1"/>
    <col min="12" max="12" width="3.5546875" customWidth="1"/>
    <col min="13" max="13" width="20.88671875" customWidth="1"/>
    <col min="14" max="14" width="10" customWidth="1"/>
    <col min="15" max="15" width="8" customWidth="1"/>
    <col min="16" max="16" width="9.88671875" customWidth="1"/>
  </cols>
  <sheetData>
    <row r="1" spans="1:16" ht="21.6" thickBot="1" x14ac:dyDescent="0.45">
      <c r="A1" s="827" t="s">
        <v>0</v>
      </c>
      <c r="B1" s="828"/>
      <c r="C1" s="828"/>
      <c r="D1" s="829" t="s">
        <v>1</v>
      </c>
      <c r="E1" s="830"/>
      <c r="F1" s="830"/>
      <c r="G1" s="830"/>
      <c r="H1" s="831" t="s">
        <v>2</v>
      </c>
      <c r="I1" s="830"/>
      <c r="J1" s="830"/>
      <c r="K1" s="830"/>
      <c r="L1" s="832" t="s">
        <v>3</v>
      </c>
      <c r="M1" s="830"/>
      <c r="N1" s="833"/>
      <c r="O1" s="1" t="s">
        <v>4</v>
      </c>
      <c r="P1" s="2" t="s">
        <v>5</v>
      </c>
    </row>
    <row r="2" spans="1:16" ht="18" x14ac:dyDescent="0.35">
      <c r="B2" s="85" t="s">
        <v>75</v>
      </c>
      <c r="C2" s="86"/>
      <c r="D2" s="86"/>
    </row>
    <row r="3" spans="1:16" ht="21" x14ac:dyDescent="0.4">
      <c r="A3" s="827" t="s">
        <v>0</v>
      </c>
      <c r="B3" s="828"/>
      <c r="C3" s="828"/>
      <c r="D3" s="829" t="s">
        <v>1</v>
      </c>
      <c r="E3" s="830"/>
      <c r="F3" s="830"/>
      <c r="G3" s="830"/>
      <c r="H3" s="831" t="s">
        <v>2</v>
      </c>
      <c r="I3" s="830"/>
      <c r="J3" s="830"/>
      <c r="K3" s="830"/>
      <c r="L3" s="832" t="s">
        <v>3</v>
      </c>
      <c r="M3" s="830"/>
      <c r="N3" s="833"/>
      <c r="O3" s="1" t="s">
        <v>4</v>
      </c>
      <c r="P3" s="2" t="s">
        <v>5</v>
      </c>
    </row>
    <row r="4" spans="1:16" ht="15.6" x14ac:dyDescent="0.3">
      <c r="A4" s="38" t="s">
        <v>6</v>
      </c>
      <c r="B4" s="39" t="s">
        <v>7</v>
      </c>
      <c r="C4" s="39" t="s">
        <v>8</v>
      </c>
      <c r="D4" s="3" t="s">
        <v>6</v>
      </c>
      <c r="E4" s="3" t="s">
        <v>9</v>
      </c>
      <c r="F4" s="4" t="s">
        <v>7</v>
      </c>
      <c r="G4" s="4" t="s">
        <v>8</v>
      </c>
      <c r="H4" s="5" t="s">
        <v>6</v>
      </c>
      <c r="I4" s="5" t="s">
        <v>9</v>
      </c>
      <c r="J4" s="6" t="s">
        <v>7</v>
      </c>
      <c r="K4" s="6" t="s">
        <v>8</v>
      </c>
      <c r="L4" s="7" t="s">
        <v>6</v>
      </c>
      <c r="M4" s="46" t="s">
        <v>7</v>
      </c>
      <c r="N4" s="47" t="s">
        <v>8</v>
      </c>
      <c r="O4" s="55"/>
      <c r="P4" s="55"/>
    </row>
    <row r="5" spans="1:16" ht="15.6" x14ac:dyDescent="0.4">
      <c r="A5" s="40">
        <v>1</v>
      </c>
      <c r="B5" s="41" t="s">
        <v>18</v>
      </c>
      <c r="C5" s="28">
        <v>6</v>
      </c>
      <c r="D5" s="10"/>
      <c r="E5" s="11">
        <v>45968</v>
      </c>
      <c r="F5" s="12" t="s">
        <v>18</v>
      </c>
      <c r="G5" s="13">
        <v>15</v>
      </c>
      <c r="H5" s="14"/>
      <c r="I5" s="15" t="s">
        <v>108</v>
      </c>
      <c r="J5" s="16" t="s">
        <v>18</v>
      </c>
      <c r="K5" s="56">
        <v>11</v>
      </c>
      <c r="L5" s="18"/>
      <c r="M5" s="48" t="s">
        <v>18</v>
      </c>
      <c r="N5" s="49">
        <f t="shared" ref="N5:N70" si="0">SUMIF($B$5:$B$86,M5,$C$5:$C$86)+SUMIF($F$5:$F$87,M5,$G$5:$G$87)-SUMIF($J$5:$J$87,M5,$K$5:$K$87)</f>
        <v>10</v>
      </c>
      <c r="O5" s="20">
        <v>290</v>
      </c>
      <c r="P5" s="20">
        <f>N5*O5</f>
        <v>2900</v>
      </c>
    </row>
    <row r="6" spans="1:16" ht="15.6" x14ac:dyDescent="0.4">
      <c r="A6" s="40">
        <v>2</v>
      </c>
      <c r="B6" s="42" t="s">
        <v>19</v>
      </c>
      <c r="C6" s="28">
        <v>15</v>
      </c>
      <c r="D6" s="10"/>
      <c r="E6" s="21"/>
      <c r="F6" s="12"/>
      <c r="G6" s="22"/>
      <c r="H6" s="14"/>
      <c r="I6" s="15"/>
      <c r="J6" s="16"/>
      <c r="K6" s="57"/>
      <c r="L6" s="18"/>
      <c r="M6" s="50" t="s">
        <v>19</v>
      </c>
      <c r="N6" s="49">
        <f t="shared" si="0"/>
        <v>15</v>
      </c>
      <c r="O6" s="20">
        <v>292</v>
      </c>
      <c r="P6" s="20">
        <f t="shared" ref="P6:P72" si="1">N6*O6</f>
        <v>4380</v>
      </c>
    </row>
    <row r="7" spans="1:16" ht="15.6" x14ac:dyDescent="0.4">
      <c r="A7" s="40">
        <v>3</v>
      </c>
      <c r="B7" s="42" t="s">
        <v>20</v>
      </c>
      <c r="C7" s="28">
        <v>6</v>
      </c>
      <c r="D7" s="10"/>
      <c r="E7" s="21"/>
      <c r="F7" s="12"/>
      <c r="G7" s="22"/>
      <c r="H7" s="14"/>
      <c r="I7" s="15"/>
      <c r="J7" s="16"/>
      <c r="K7" s="57"/>
      <c r="L7" s="18"/>
      <c r="M7" s="50" t="s">
        <v>20</v>
      </c>
      <c r="N7" s="49">
        <f t="shared" si="0"/>
        <v>6</v>
      </c>
      <c r="O7" s="20">
        <v>288</v>
      </c>
      <c r="P7" s="20">
        <f t="shared" si="1"/>
        <v>1728</v>
      </c>
    </row>
    <row r="8" spans="1:16" ht="15.6" x14ac:dyDescent="0.4">
      <c r="A8" s="40">
        <v>4</v>
      </c>
      <c r="B8" s="41" t="s">
        <v>21</v>
      </c>
      <c r="C8" s="28">
        <v>7.3</v>
      </c>
      <c r="D8" s="10"/>
      <c r="E8" s="11">
        <v>45968</v>
      </c>
      <c r="F8" s="12" t="s">
        <v>21</v>
      </c>
      <c r="G8" s="22">
        <v>5</v>
      </c>
      <c r="H8" s="14"/>
      <c r="I8" s="15" t="s">
        <v>108</v>
      </c>
      <c r="J8" s="16" t="s">
        <v>21</v>
      </c>
      <c r="K8" s="57">
        <v>5.52</v>
      </c>
      <c r="L8" s="18"/>
      <c r="M8" s="48" t="s">
        <v>21</v>
      </c>
      <c r="N8" s="49">
        <f t="shared" si="0"/>
        <v>6.7800000000000011</v>
      </c>
      <c r="O8" s="20">
        <v>960</v>
      </c>
      <c r="P8" s="20">
        <f t="shared" si="1"/>
        <v>6508.8000000000011</v>
      </c>
    </row>
    <row r="9" spans="1:16" ht="15.6" x14ac:dyDescent="0.4">
      <c r="A9" s="40"/>
      <c r="B9" s="41" t="s">
        <v>22</v>
      </c>
      <c r="C9" s="28">
        <v>2.2999999999999998</v>
      </c>
      <c r="D9" s="10"/>
      <c r="E9" s="21"/>
      <c r="F9" s="12"/>
      <c r="G9" s="22"/>
      <c r="H9" s="14"/>
      <c r="I9" s="15" t="s">
        <v>108</v>
      </c>
      <c r="J9" s="16" t="s">
        <v>22</v>
      </c>
      <c r="K9" s="57">
        <v>0.94</v>
      </c>
      <c r="L9" s="18"/>
      <c r="M9" s="48" t="s">
        <v>22</v>
      </c>
      <c r="N9" s="49">
        <f t="shared" si="0"/>
        <v>1.3599999999999999</v>
      </c>
      <c r="O9" s="20">
        <v>898</v>
      </c>
      <c r="P9" s="20">
        <f t="shared" si="1"/>
        <v>1221.28</v>
      </c>
    </row>
    <row r="10" spans="1:16" ht="15.6" x14ac:dyDescent="0.4">
      <c r="A10" s="40">
        <v>5</v>
      </c>
      <c r="B10" s="41" t="s">
        <v>23</v>
      </c>
      <c r="C10" s="28">
        <v>12</v>
      </c>
      <c r="D10" s="10"/>
      <c r="E10" s="11"/>
      <c r="F10" s="12"/>
      <c r="G10" s="22"/>
      <c r="H10" s="14"/>
      <c r="I10" s="15" t="s">
        <v>108</v>
      </c>
      <c r="J10" s="16" t="s">
        <v>23</v>
      </c>
      <c r="K10" s="57">
        <v>4.32</v>
      </c>
      <c r="L10" s="18"/>
      <c r="M10" s="48" t="s">
        <v>23</v>
      </c>
      <c r="N10" s="49">
        <f t="shared" si="0"/>
        <v>7.68</v>
      </c>
      <c r="O10" s="20">
        <v>960</v>
      </c>
      <c r="P10" s="20">
        <f t="shared" si="1"/>
        <v>7372.7999999999993</v>
      </c>
    </row>
    <row r="11" spans="1:16" ht="15.6" x14ac:dyDescent="0.4">
      <c r="A11" s="40">
        <v>6</v>
      </c>
      <c r="B11" s="41" t="s">
        <v>24</v>
      </c>
      <c r="C11" s="28">
        <v>4</v>
      </c>
      <c r="D11" s="10"/>
      <c r="E11" s="21"/>
      <c r="F11" s="12"/>
      <c r="G11" s="22"/>
      <c r="H11" s="14"/>
      <c r="I11" s="15"/>
      <c r="J11" s="16"/>
      <c r="K11" s="57"/>
      <c r="L11" s="18"/>
      <c r="M11" s="48" t="s">
        <v>24</v>
      </c>
      <c r="N11" s="51">
        <f t="shared" si="0"/>
        <v>4</v>
      </c>
      <c r="O11" s="20">
        <v>1010</v>
      </c>
      <c r="P11" s="20">
        <f t="shared" si="1"/>
        <v>4040</v>
      </c>
    </row>
    <row r="12" spans="1:16" ht="15.6" x14ac:dyDescent="0.4">
      <c r="A12" s="40">
        <v>7</v>
      </c>
      <c r="B12" s="41" t="s">
        <v>25</v>
      </c>
      <c r="C12" s="28">
        <v>4</v>
      </c>
      <c r="D12" s="10"/>
      <c r="E12" s="11" t="s">
        <v>98</v>
      </c>
      <c r="F12" s="12" t="s">
        <v>25</v>
      </c>
      <c r="G12" s="22">
        <v>20</v>
      </c>
      <c r="H12" s="14"/>
      <c r="I12" s="15" t="s">
        <v>109</v>
      </c>
      <c r="J12" s="16" t="s">
        <v>25</v>
      </c>
      <c r="K12" s="57">
        <v>23</v>
      </c>
      <c r="L12" s="18"/>
      <c r="M12" s="48" t="s">
        <v>25</v>
      </c>
      <c r="N12" s="51">
        <f t="shared" si="0"/>
        <v>1</v>
      </c>
      <c r="O12" s="20">
        <v>361</v>
      </c>
      <c r="P12" s="20">
        <f t="shared" si="1"/>
        <v>361</v>
      </c>
    </row>
    <row r="13" spans="1:16" ht="15.6" x14ac:dyDescent="0.4">
      <c r="A13" s="40">
        <v>8</v>
      </c>
      <c r="B13" s="42" t="s">
        <v>26</v>
      </c>
      <c r="C13" s="28">
        <v>14</v>
      </c>
      <c r="D13" s="10"/>
      <c r="E13" s="11"/>
      <c r="F13" s="12"/>
      <c r="G13" s="22"/>
      <c r="H13" s="14"/>
      <c r="I13" s="15" t="s">
        <v>106</v>
      </c>
      <c r="J13" s="16" t="s">
        <v>26</v>
      </c>
      <c r="K13" s="57">
        <v>7</v>
      </c>
      <c r="L13" s="18"/>
      <c r="M13" s="50" t="s">
        <v>26</v>
      </c>
      <c r="N13" s="51">
        <f t="shared" si="0"/>
        <v>7</v>
      </c>
      <c r="O13" s="20">
        <v>370</v>
      </c>
      <c r="P13" s="20">
        <f t="shared" si="1"/>
        <v>2590</v>
      </c>
    </row>
    <row r="14" spans="1:16" ht="15.6" x14ac:dyDescent="0.4">
      <c r="A14" s="40">
        <v>9</v>
      </c>
      <c r="B14" s="42" t="s">
        <v>27</v>
      </c>
      <c r="C14" s="28">
        <v>7</v>
      </c>
      <c r="D14" s="10"/>
      <c r="E14" s="21"/>
      <c r="F14" s="12"/>
      <c r="G14" s="22"/>
      <c r="H14" s="14"/>
      <c r="I14" s="15"/>
      <c r="J14" s="16"/>
      <c r="K14" s="57"/>
      <c r="L14" s="18"/>
      <c r="M14" s="50" t="s">
        <v>27</v>
      </c>
      <c r="N14" s="51">
        <f t="shared" si="0"/>
        <v>7</v>
      </c>
      <c r="O14" s="20">
        <v>295</v>
      </c>
      <c r="P14" s="20">
        <f t="shared" si="1"/>
        <v>2065</v>
      </c>
    </row>
    <row r="15" spans="1:16" ht="15.6" x14ac:dyDescent="0.4">
      <c r="A15" s="40">
        <v>10</v>
      </c>
      <c r="B15" s="41" t="s">
        <v>28</v>
      </c>
      <c r="C15" s="28">
        <v>0.5</v>
      </c>
      <c r="D15" s="10"/>
      <c r="E15" s="11" t="s">
        <v>98</v>
      </c>
      <c r="F15" s="12" t="s">
        <v>28</v>
      </c>
      <c r="G15" s="22">
        <v>4</v>
      </c>
      <c r="H15" s="14"/>
      <c r="I15" s="15" t="s">
        <v>108</v>
      </c>
      <c r="J15" s="16" t="s">
        <v>28</v>
      </c>
      <c r="K15" s="57">
        <v>3.47</v>
      </c>
      <c r="L15" s="18"/>
      <c r="M15" s="48" t="s">
        <v>28</v>
      </c>
      <c r="N15" s="51">
        <f t="shared" si="0"/>
        <v>1.0299999999999998</v>
      </c>
      <c r="O15" s="20">
        <v>1910</v>
      </c>
      <c r="P15" s="20">
        <f t="shared" si="1"/>
        <v>1967.2999999999997</v>
      </c>
    </row>
    <row r="16" spans="1:16" ht="15.6" x14ac:dyDescent="0.4">
      <c r="A16" s="40">
        <v>11</v>
      </c>
      <c r="B16" s="41" t="s">
        <v>29</v>
      </c>
      <c r="C16" s="28">
        <v>0.66</v>
      </c>
      <c r="D16" s="10"/>
      <c r="E16" s="11">
        <v>45968</v>
      </c>
      <c r="F16" s="12" t="s">
        <v>29</v>
      </c>
      <c r="G16" s="22">
        <v>1</v>
      </c>
      <c r="H16" s="14"/>
      <c r="I16" s="15" t="s">
        <v>109</v>
      </c>
      <c r="J16" s="16" t="s">
        <v>29</v>
      </c>
      <c r="K16" s="57">
        <v>1.1000000000000001</v>
      </c>
      <c r="L16" s="18"/>
      <c r="M16" s="48" t="s">
        <v>29</v>
      </c>
      <c r="N16" s="51">
        <f t="shared" si="0"/>
        <v>0.56000000000000005</v>
      </c>
      <c r="O16" s="20">
        <v>3465</v>
      </c>
      <c r="P16" s="20">
        <f t="shared" si="1"/>
        <v>1940.4</v>
      </c>
    </row>
    <row r="17" spans="1:16" ht="15.6" x14ac:dyDescent="0.4">
      <c r="A17" s="40">
        <v>12</v>
      </c>
      <c r="B17" s="41" t="s">
        <v>30</v>
      </c>
      <c r="C17" s="28">
        <v>12</v>
      </c>
      <c r="D17" s="10"/>
      <c r="E17" s="11" t="s">
        <v>98</v>
      </c>
      <c r="F17" s="12" t="s">
        <v>30</v>
      </c>
      <c r="G17" s="22">
        <v>10</v>
      </c>
      <c r="H17" s="14"/>
      <c r="I17" s="15" t="s">
        <v>108</v>
      </c>
      <c r="J17" s="16" t="s">
        <v>30</v>
      </c>
      <c r="K17" s="57">
        <v>13</v>
      </c>
      <c r="L17" s="18"/>
      <c r="M17" s="48" t="s">
        <v>30</v>
      </c>
      <c r="N17" s="51">
        <f t="shared" si="0"/>
        <v>9</v>
      </c>
      <c r="O17" s="20">
        <v>276</v>
      </c>
      <c r="P17" s="20">
        <f t="shared" si="1"/>
        <v>2484</v>
      </c>
    </row>
    <row r="18" spans="1:16" ht="15.6" x14ac:dyDescent="0.4">
      <c r="A18" s="40">
        <v>13</v>
      </c>
      <c r="B18" s="41" t="s">
        <v>31</v>
      </c>
      <c r="C18" s="28">
        <v>3</v>
      </c>
      <c r="D18" s="10"/>
      <c r="E18" s="24"/>
      <c r="F18" s="12"/>
      <c r="G18" s="25"/>
      <c r="H18" s="14"/>
      <c r="I18" s="15"/>
      <c r="J18" s="16"/>
      <c r="K18" s="58"/>
      <c r="L18" s="18"/>
      <c r="M18" s="48" t="s">
        <v>31</v>
      </c>
      <c r="N18" s="51">
        <f t="shared" si="0"/>
        <v>3</v>
      </c>
      <c r="O18" s="20">
        <v>276</v>
      </c>
      <c r="P18" s="20">
        <f t="shared" si="1"/>
        <v>828</v>
      </c>
    </row>
    <row r="19" spans="1:16" ht="15.6" x14ac:dyDescent="0.4">
      <c r="A19" s="40">
        <v>14</v>
      </c>
      <c r="B19" s="41" t="s">
        <v>32</v>
      </c>
      <c r="C19" s="28">
        <v>29</v>
      </c>
      <c r="D19" s="10"/>
      <c r="E19" s="11"/>
      <c r="F19" s="12"/>
      <c r="G19" s="25"/>
      <c r="H19" s="26"/>
      <c r="I19" s="15" t="s">
        <v>108</v>
      </c>
      <c r="J19" s="16" t="s">
        <v>32</v>
      </c>
      <c r="K19" s="56">
        <v>7</v>
      </c>
      <c r="L19" s="18"/>
      <c r="M19" s="48" t="s">
        <v>32</v>
      </c>
      <c r="N19" s="51">
        <f t="shared" si="0"/>
        <v>22</v>
      </c>
      <c r="O19" s="20">
        <v>190</v>
      </c>
      <c r="P19" s="20">
        <f t="shared" si="1"/>
        <v>4180</v>
      </c>
    </row>
    <row r="20" spans="1:16" ht="15.6" x14ac:dyDescent="0.4">
      <c r="A20" s="40">
        <v>15</v>
      </c>
      <c r="B20" s="41" t="s">
        <v>10</v>
      </c>
      <c r="C20" s="28">
        <v>13</v>
      </c>
      <c r="D20" s="10"/>
      <c r="E20" s="11">
        <v>45968</v>
      </c>
      <c r="F20" s="12" t="s">
        <v>10</v>
      </c>
      <c r="G20" s="25">
        <v>10</v>
      </c>
      <c r="H20" s="26"/>
      <c r="I20" s="15" t="s">
        <v>108</v>
      </c>
      <c r="J20" s="16" t="s">
        <v>10</v>
      </c>
      <c r="K20" s="56">
        <v>11</v>
      </c>
      <c r="L20" s="18"/>
      <c r="M20" s="48" t="s">
        <v>10</v>
      </c>
      <c r="N20" s="51">
        <f t="shared" si="0"/>
        <v>12</v>
      </c>
      <c r="O20" s="20">
        <v>185</v>
      </c>
      <c r="P20" s="20">
        <f t="shared" si="1"/>
        <v>2220</v>
      </c>
    </row>
    <row r="21" spans="1:16" ht="15.6" x14ac:dyDescent="0.4">
      <c r="A21" s="40">
        <v>16</v>
      </c>
      <c r="B21" s="41" t="s">
        <v>101</v>
      </c>
      <c r="C21" s="28">
        <v>13</v>
      </c>
      <c r="D21" s="10"/>
      <c r="E21" s="11" t="s">
        <v>98</v>
      </c>
      <c r="F21" s="12" t="s">
        <v>101</v>
      </c>
      <c r="G21" s="25">
        <v>0</v>
      </c>
      <c r="H21" s="26"/>
      <c r="I21" s="15" t="s">
        <v>108</v>
      </c>
      <c r="J21" s="16" t="s">
        <v>101</v>
      </c>
      <c r="K21" s="56">
        <v>13</v>
      </c>
      <c r="L21" s="18"/>
      <c r="M21" s="48" t="s">
        <v>101</v>
      </c>
      <c r="N21" s="51">
        <f t="shared" si="0"/>
        <v>0</v>
      </c>
      <c r="O21" s="20">
        <v>190</v>
      </c>
      <c r="P21" s="20">
        <f t="shared" si="1"/>
        <v>0</v>
      </c>
    </row>
    <row r="22" spans="1:16" ht="15.6" x14ac:dyDescent="0.4">
      <c r="A22" s="40">
        <v>17</v>
      </c>
      <c r="B22" s="41" t="s">
        <v>33</v>
      </c>
      <c r="C22" s="28">
        <v>19</v>
      </c>
      <c r="D22" s="10"/>
      <c r="E22" s="24"/>
      <c r="F22" s="12"/>
      <c r="G22" s="25"/>
      <c r="H22" s="26"/>
      <c r="I22" s="15" t="s">
        <v>108</v>
      </c>
      <c r="J22" s="16" t="s">
        <v>33</v>
      </c>
      <c r="K22" s="56">
        <v>4</v>
      </c>
      <c r="L22" s="18"/>
      <c r="M22" s="48" t="s">
        <v>33</v>
      </c>
      <c r="N22" s="51">
        <f t="shared" si="0"/>
        <v>15</v>
      </c>
      <c r="O22" s="20">
        <v>210</v>
      </c>
      <c r="P22" s="20">
        <f t="shared" si="1"/>
        <v>3150</v>
      </c>
    </row>
    <row r="23" spans="1:16" ht="15.6" x14ac:dyDescent="0.4">
      <c r="A23" s="40">
        <v>18</v>
      </c>
      <c r="B23" s="41" t="s">
        <v>11</v>
      </c>
      <c r="C23" s="28">
        <v>14</v>
      </c>
      <c r="D23" s="10"/>
      <c r="E23" s="24"/>
      <c r="F23" s="12"/>
      <c r="G23" s="25"/>
      <c r="H23" s="26"/>
      <c r="I23" s="15" t="s">
        <v>108</v>
      </c>
      <c r="J23" s="16" t="s">
        <v>11</v>
      </c>
      <c r="K23" s="56">
        <v>3</v>
      </c>
      <c r="L23" s="18"/>
      <c r="M23" s="48" t="s">
        <v>11</v>
      </c>
      <c r="N23" s="51">
        <f t="shared" si="0"/>
        <v>11</v>
      </c>
      <c r="O23" s="20">
        <v>190</v>
      </c>
      <c r="P23" s="20">
        <f t="shared" si="1"/>
        <v>2090</v>
      </c>
    </row>
    <row r="24" spans="1:16" ht="15.6" x14ac:dyDescent="0.4">
      <c r="A24" s="40">
        <v>19</v>
      </c>
      <c r="B24" s="41" t="s">
        <v>34</v>
      </c>
      <c r="C24" s="28">
        <v>7</v>
      </c>
      <c r="D24" s="10"/>
      <c r="E24" s="11" t="s">
        <v>98</v>
      </c>
      <c r="F24" s="12" t="s">
        <v>34</v>
      </c>
      <c r="G24" s="25">
        <v>5</v>
      </c>
      <c r="H24" s="26"/>
      <c r="I24" s="15" t="s">
        <v>108</v>
      </c>
      <c r="J24" s="16" t="s">
        <v>34</v>
      </c>
      <c r="K24" s="56">
        <v>5</v>
      </c>
      <c r="L24" s="18"/>
      <c r="M24" s="48" t="s">
        <v>34</v>
      </c>
      <c r="N24" s="51">
        <f t="shared" si="0"/>
        <v>7</v>
      </c>
      <c r="O24" s="20">
        <v>240</v>
      </c>
      <c r="P24" s="20">
        <f t="shared" si="1"/>
        <v>1680</v>
      </c>
    </row>
    <row r="25" spans="1:16" ht="15.6" x14ac:dyDescent="0.4">
      <c r="A25" s="40">
        <v>20</v>
      </c>
      <c r="B25" s="41" t="s">
        <v>35</v>
      </c>
      <c r="C25" s="28">
        <v>15</v>
      </c>
      <c r="D25" s="10"/>
      <c r="E25" s="24"/>
      <c r="F25" s="12"/>
      <c r="G25" s="25"/>
      <c r="H25" s="26"/>
      <c r="I25" s="15" t="s">
        <v>108</v>
      </c>
      <c r="J25" s="16" t="s">
        <v>35</v>
      </c>
      <c r="K25" s="56">
        <v>4</v>
      </c>
      <c r="L25" s="18"/>
      <c r="M25" s="48" t="s">
        <v>35</v>
      </c>
      <c r="N25" s="51">
        <f t="shared" si="0"/>
        <v>11</v>
      </c>
      <c r="O25" s="20">
        <v>207</v>
      </c>
      <c r="P25" s="20">
        <f t="shared" si="1"/>
        <v>2277</v>
      </c>
    </row>
    <row r="26" spans="1:16" ht="15.6" x14ac:dyDescent="0.4">
      <c r="A26" s="40">
        <v>21</v>
      </c>
      <c r="B26" s="41" t="s">
        <v>36</v>
      </c>
      <c r="C26" s="28">
        <v>20</v>
      </c>
      <c r="D26" s="10"/>
      <c r="E26" s="11" t="s">
        <v>98</v>
      </c>
      <c r="F26" s="12" t="s">
        <v>36</v>
      </c>
      <c r="G26" s="25">
        <v>25</v>
      </c>
      <c r="H26" s="26"/>
      <c r="I26" s="15" t="s">
        <v>109</v>
      </c>
      <c r="J26" s="16" t="s">
        <v>36</v>
      </c>
      <c r="K26" s="56">
        <v>26</v>
      </c>
      <c r="L26" s="18"/>
      <c r="M26" s="48" t="s">
        <v>36</v>
      </c>
      <c r="N26" s="51">
        <f t="shared" si="0"/>
        <v>19</v>
      </c>
      <c r="O26" s="20">
        <v>190</v>
      </c>
      <c r="P26" s="20">
        <f t="shared" si="1"/>
        <v>3610</v>
      </c>
    </row>
    <row r="27" spans="1:16" ht="15.6" x14ac:dyDescent="0.4">
      <c r="A27" s="40">
        <v>22</v>
      </c>
      <c r="B27" s="41" t="s">
        <v>37</v>
      </c>
      <c r="C27" s="28">
        <v>10.5</v>
      </c>
      <c r="D27" s="10"/>
      <c r="E27" s="24"/>
      <c r="F27" s="12"/>
      <c r="G27" s="25"/>
      <c r="H27" s="26"/>
      <c r="I27" s="15"/>
      <c r="J27" s="16"/>
      <c r="K27" s="56"/>
      <c r="L27" s="18"/>
      <c r="M27" s="48" t="s">
        <v>37</v>
      </c>
      <c r="N27" s="51">
        <f t="shared" si="0"/>
        <v>10.5</v>
      </c>
      <c r="O27" s="20">
        <v>372</v>
      </c>
      <c r="P27" s="20">
        <f t="shared" si="1"/>
        <v>3906</v>
      </c>
    </row>
    <row r="28" spans="1:16" ht="15.6" x14ac:dyDescent="0.4">
      <c r="A28" s="40"/>
      <c r="B28" s="41" t="s">
        <v>38</v>
      </c>
      <c r="C28" s="28">
        <v>7</v>
      </c>
      <c r="D28" s="10"/>
      <c r="E28" s="11" t="s">
        <v>98</v>
      </c>
      <c r="F28" s="12" t="s">
        <v>38</v>
      </c>
      <c r="G28" s="25">
        <v>20</v>
      </c>
      <c r="H28" s="26"/>
      <c r="I28" s="15" t="s">
        <v>109</v>
      </c>
      <c r="J28" s="16" t="s">
        <v>38</v>
      </c>
      <c r="K28" s="56">
        <v>20</v>
      </c>
      <c r="L28" s="18"/>
      <c r="M28" s="48" t="s">
        <v>38</v>
      </c>
      <c r="N28" s="51">
        <f t="shared" si="0"/>
        <v>7</v>
      </c>
      <c r="O28" s="20">
        <v>190</v>
      </c>
      <c r="P28" s="20">
        <f t="shared" si="1"/>
        <v>1330</v>
      </c>
    </row>
    <row r="29" spans="1:16" ht="15.6" x14ac:dyDescent="0.4">
      <c r="A29" s="40"/>
      <c r="B29" s="41" t="s">
        <v>39</v>
      </c>
      <c r="C29" s="28">
        <v>23</v>
      </c>
      <c r="D29" s="10"/>
      <c r="E29" s="11"/>
      <c r="F29" s="12"/>
      <c r="G29" s="25"/>
      <c r="H29" s="26"/>
      <c r="I29" s="15" t="s">
        <v>108</v>
      </c>
      <c r="J29" s="16" t="s">
        <v>39</v>
      </c>
      <c r="K29" s="56">
        <v>13</v>
      </c>
      <c r="L29" s="18"/>
      <c r="M29" s="48" t="s">
        <v>39</v>
      </c>
      <c r="N29" s="51">
        <f t="shared" si="0"/>
        <v>10</v>
      </c>
      <c r="O29" s="20">
        <v>200</v>
      </c>
      <c r="P29" s="20">
        <f t="shared" si="1"/>
        <v>2000</v>
      </c>
    </row>
    <row r="30" spans="1:16" ht="15.6" x14ac:dyDescent="0.4">
      <c r="A30" s="40"/>
      <c r="B30" s="41" t="s">
        <v>40</v>
      </c>
      <c r="C30" s="28">
        <v>16</v>
      </c>
      <c r="D30" s="10"/>
      <c r="E30" s="24"/>
      <c r="F30" s="12"/>
      <c r="G30" s="25"/>
      <c r="H30" s="26"/>
      <c r="I30" s="15" t="s">
        <v>109</v>
      </c>
      <c r="J30" s="16" t="s">
        <v>40</v>
      </c>
      <c r="K30" s="56">
        <v>16</v>
      </c>
      <c r="L30" s="18"/>
      <c r="M30" s="48" t="s">
        <v>40</v>
      </c>
      <c r="N30" s="51">
        <f t="shared" si="0"/>
        <v>0</v>
      </c>
      <c r="O30" s="20">
        <v>196</v>
      </c>
      <c r="P30" s="20">
        <f t="shared" si="1"/>
        <v>0</v>
      </c>
    </row>
    <row r="31" spans="1:16" ht="15.6" x14ac:dyDescent="0.4">
      <c r="A31" s="40"/>
      <c r="B31" s="41" t="s">
        <v>12</v>
      </c>
      <c r="C31" s="28">
        <v>1.3</v>
      </c>
      <c r="D31" s="10"/>
      <c r="E31" s="24"/>
      <c r="F31" s="12"/>
      <c r="G31" s="25"/>
      <c r="H31" s="26"/>
      <c r="I31" s="15" t="s">
        <v>108</v>
      </c>
      <c r="J31" s="16" t="s">
        <v>12</v>
      </c>
      <c r="K31" s="56">
        <v>0.33</v>
      </c>
      <c r="L31" s="18"/>
      <c r="M31" s="48" t="s">
        <v>12</v>
      </c>
      <c r="N31" s="51">
        <f t="shared" si="0"/>
        <v>0.97</v>
      </c>
      <c r="O31" s="20">
        <v>900</v>
      </c>
      <c r="P31" s="20">
        <f t="shared" si="1"/>
        <v>873</v>
      </c>
    </row>
    <row r="32" spans="1:16" ht="15.6" x14ac:dyDescent="0.4">
      <c r="A32" s="40"/>
      <c r="B32" s="41" t="s">
        <v>41</v>
      </c>
      <c r="C32" s="28">
        <v>5</v>
      </c>
      <c r="D32" s="10"/>
      <c r="E32" s="11"/>
      <c r="F32" s="12"/>
      <c r="G32" s="25"/>
      <c r="H32" s="26"/>
      <c r="I32" s="15" t="s">
        <v>108</v>
      </c>
      <c r="J32" s="16" t="s">
        <v>41</v>
      </c>
      <c r="K32" s="56">
        <v>1</v>
      </c>
      <c r="L32" s="18"/>
      <c r="M32" s="48" t="s">
        <v>41</v>
      </c>
      <c r="N32" s="51">
        <f t="shared" si="0"/>
        <v>4</v>
      </c>
      <c r="O32" s="20">
        <v>348</v>
      </c>
      <c r="P32" s="20">
        <f t="shared" si="1"/>
        <v>1392</v>
      </c>
    </row>
    <row r="33" spans="1:18" ht="15.6" x14ac:dyDescent="0.4">
      <c r="A33" s="40"/>
      <c r="B33" s="41" t="s">
        <v>13</v>
      </c>
      <c r="C33" s="28">
        <v>0</v>
      </c>
      <c r="D33" s="10"/>
      <c r="E33" s="11" t="s">
        <v>98</v>
      </c>
      <c r="F33" s="12" t="s">
        <v>13</v>
      </c>
      <c r="G33" s="25">
        <v>35</v>
      </c>
      <c r="H33" s="26"/>
      <c r="I33" s="15" t="s">
        <v>108</v>
      </c>
      <c r="J33" s="16" t="s">
        <v>13</v>
      </c>
      <c r="K33" s="56">
        <v>25</v>
      </c>
      <c r="L33" s="18"/>
      <c r="M33" s="48" t="s">
        <v>13</v>
      </c>
      <c r="N33" s="51">
        <f t="shared" si="0"/>
        <v>10</v>
      </c>
      <c r="O33" s="20">
        <v>217</v>
      </c>
      <c r="P33" s="20">
        <f t="shared" si="1"/>
        <v>2170</v>
      </c>
    </row>
    <row r="34" spans="1:18" ht="15.6" x14ac:dyDescent="0.4">
      <c r="A34" s="40"/>
      <c r="B34" s="41" t="s">
        <v>42</v>
      </c>
      <c r="C34" s="28">
        <v>8</v>
      </c>
      <c r="D34" s="10"/>
      <c r="E34" s="24"/>
      <c r="F34" s="12"/>
      <c r="G34" s="25"/>
      <c r="H34" s="26"/>
      <c r="I34" s="15" t="s">
        <v>100</v>
      </c>
      <c r="J34" s="16"/>
      <c r="K34" s="56"/>
      <c r="L34" s="18"/>
      <c r="M34" s="48" t="s">
        <v>42</v>
      </c>
      <c r="N34" s="51">
        <f t="shared" si="0"/>
        <v>8</v>
      </c>
      <c r="O34" s="20">
        <v>481</v>
      </c>
      <c r="P34" s="20">
        <f t="shared" si="1"/>
        <v>3848</v>
      </c>
    </row>
    <row r="35" spans="1:18" ht="15.6" x14ac:dyDescent="0.4">
      <c r="A35" s="40"/>
      <c r="B35" s="41" t="s">
        <v>43</v>
      </c>
      <c r="C35" s="28">
        <v>3</v>
      </c>
      <c r="D35" s="10"/>
      <c r="E35" s="11" t="s">
        <v>98</v>
      </c>
      <c r="F35" s="12" t="s">
        <v>43</v>
      </c>
      <c r="G35" s="25">
        <v>30</v>
      </c>
      <c r="H35" s="26"/>
      <c r="I35" s="15" t="s">
        <v>109</v>
      </c>
      <c r="J35" s="16" t="s">
        <v>43</v>
      </c>
      <c r="K35" s="56">
        <v>28</v>
      </c>
      <c r="L35" s="18"/>
      <c r="M35" s="48" t="s">
        <v>43</v>
      </c>
      <c r="N35" s="51">
        <f t="shared" si="0"/>
        <v>5</v>
      </c>
      <c r="O35" s="20">
        <v>190</v>
      </c>
      <c r="P35" s="20">
        <f t="shared" si="1"/>
        <v>950</v>
      </c>
    </row>
    <row r="36" spans="1:18" ht="19.8" x14ac:dyDescent="0.55000000000000004">
      <c r="A36" s="40"/>
      <c r="B36" s="41" t="s">
        <v>44</v>
      </c>
      <c r="C36" s="28">
        <v>1.1299999999999999</v>
      </c>
      <c r="D36" s="10"/>
      <c r="E36" s="11"/>
      <c r="F36" s="12"/>
      <c r="G36" s="25"/>
      <c r="H36" s="26"/>
      <c r="I36" s="15" t="s">
        <v>108</v>
      </c>
      <c r="J36" s="16" t="s">
        <v>44</v>
      </c>
      <c r="K36" s="56">
        <v>0.77</v>
      </c>
      <c r="L36" s="18"/>
      <c r="M36" s="48" t="s">
        <v>44</v>
      </c>
      <c r="N36" s="51">
        <f t="shared" si="0"/>
        <v>0.35999999999999988</v>
      </c>
      <c r="O36" s="20">
        <v>1445</v>
      </c>
      <c r="P36" s="20">
        <f t="shared" si="1"/>
        <v>520.19999999999982</v>
      </c>
      <c r="Q36" s="62" t="s">
        <v>81</v>
      </c>
      <c r="R36" s="63" t="s">
        <v>82</v>
      </c>
    </row>
    <row r="37" spans="1:18" ht="19.8" x14ac:dyDescent="0.55000000000000004">
      <c r="A37" s="40"/>
      <c r="B37" s="41" t="s">
        <v>45</v>
      </c>
      <c r="C37" s="28">
        <v>2.16</v>
      </c>
      <c r="D37" s="10"/>
      <c r="E37" s="24"/>
      <c r="F37" s="12"/>
      <c r="G37" s="25"/>
      <c r="H37" s="26"/>
      <c r="I37" s="89" t="s">
        <v>107</v>
      </c>
      <c r="J37" s="16" t="s">
        <v>45</v>
      </c>
      <c r="K37" s="56">
        <v>0.53</v>
      </c>
      <c r="L37" s="18"/>
      <c r="M37" s="48" t="s">
        <v>45</v>
      </c>
      <c r="N37" s="51">
        <f t="shared" si="0"/>
        <v>1.6300000000000001</v>
      </c>
      <c r="O37" s="20">
        <v>1512</v>
      </c>
      <c r="P37" s="20">
        <f t="shared" si="1"/>
        <v>2464.5600000000004</v>
      </c>
      <c r="Q37" s="62" t="s">
        <v>83</v>
      </c>
      <c r="R37" s="63" t="s">
        <v>84</v>
      </c>
    </row>
    <row r="38" spans="1:18" ht="19.8" x14ac:dyDescent="0.55000000000000004">
      <c r="A38" s="40"/>
      <c r="B38" s="41" t="s">
        <v>46</v>
      </c>
      <c r="C38" s="28">
        <v>3.16</v>
      </c>
      <c r="D38" s="10"/>
      <c r="E38" s="11"/>
      <c r="F38" s="12"/>
      <c r="G38" s="25"/>
      <c r="H38" s="26"/>
      <c r="I38" s="15" t="s">
        <v>109</v>
      </c>
      <c r="J38" s="16" t="s">
        <v>46</v>
      </c>
      <c r="K38" s="56">
        <v>2.29</v>
      </c>
      <c r="L38" s="18"/>
      <c r="M38" s="48" t="s">
        <v>46</v>
      </c>
      <c r="N38" s="51">
        <f t="shared" si="0"/>
        <v>0.87000000000000011</v>
      </c>
      <c r="O38" s="20">
        <v>1305</v>
      </c>
      <c r="P38" s="20">
        <f t="shared" si="1"/>
        <v>1135.3500000000001</v>
      </c>
      <c r="Q38" s="62" t="s">
        <v>83</v>
      </c>
      <c r="R38" s="63" t="s">
        <v>85</v>
      </c>
    </row>
    <row r="39" spans="1:18" ht="19.8" x14ac:dyDescent="0.55000000000000004">
      <c r="A39" s="40"/>
      <c r="B39" s="41" t="s">
        <v>47</v>
      </c>
      <c r="C39" s="28">
        <v>2.25</v>
      </c>
      <c r="D39" s="10"/>
      <c r="E39" s="11" t="s">
        <v>98</v>
      </c>
      <c r="F39" s="12" t="s">
        <v>62</v>
      </c>
      <c r="G39" s="25">
        <v>2</v>
      </c>
      <c r="H39" s="27"/>
      <c r="I39" s="15" t="s">
        <v>109</v>
      </c>
      <c r="J39" s="16" t="s">
        <v>47</v>
      </c>
      <c r="K39" s="56">
        <v>2.06</v>
      </c>
      <c r="L39" s="18"/>
      <c r="M39" s="48" t="s">
        <v>47</v>
      </c>
      <c r="N39" s="51">
        <f t="shared" si="0"/>
        <v>0.18999999999999995</v>
      </c>
      <c r="O39" s="20">
        <v>1445</v>
      </c>
      <c r="P39" s="20">
        <f t="shared" si="1"/>
        <v>274.5499999999999</v>
      </c>
      <c r="Q39" s="62" t="s">
        <v>81</v>
      </c>
      <c r="R39" s="63" t="s">
        <v>82</v>
      </c>
    </row>
    <row r="40" spans="1:18" ht="19.8" x14ac:dyDescent="0.55000000000000004">
      <c r="A40" s="40"/>
      <c r="B40" s="41" t="s">
        <v>48</v>
      </c>
      <c r="C40" s="28">
        <v>2.16</v>
      </c>
      <c r="D40" s="10"/>
      <c r="E40" s="11"/>
      <c r="F40" s="12"/>
      <c r="G40" s="25"/>
      <c r="H40" s="27"/>
      <c r="I40" s="15" t="s">
        <v>109</v>
      </c>
      <c r="J40" s="16" t="s">
        <v>48</v>
      </c>
      <c r="K40" s="56">
        <v>1.7</v>
      </c>
      <c r="L40" s="18"/>
      <c r="M40" s="48" t="s">
        <v>48</v>
      </c>
      <c r="N40" s="51">
        <f t="shared" si="0"/>
        <v>0.46000000000000019</v>
      </c>
      <c r="O40" s="20">
        <v>1512</v>
      </c>
      <c r="P40" s="20">
        <f t="shared" si="1"/>
        <v>695.52000000000032</v>
      </c>
      <c r="Q40" s="62" t="s">
        <v>83</v>
      </c>
      <c r="R40" s="63" t="s">
        <v>84</v>
      </c>
    </row>
    <row r="41" spans="1:18" ht="19.8" x14ac:dyDescent="0.55000000000000004">
      <c r="A41" s="40"/>
      <c r="B41" s="41" t="s">
        <v>49</v>
      </c>
      <c r="C41" s="28">
        <v>0</v>
      </c>
      <c r="D41" s="10"/>
      <c r="E41" s="11">
        <v>45968</v>
      </c>
      <c r="F41" s="12" t="s">
        <v>49</v>
      </c>
      <c r="G41" s="25">
        <v>6</v>
      </c>
      <c r="H41" s="27"/>
      <c r="I41" s="15" t="s">
        <v>109</v>
      </c>
      <c r="J41" s="16" t="s">
        <v>49</v>
      </c>
      <c r="K41" s="56">
        <v>3.1</v>
      </c>
      <c r="L41" s="18"/>
      <c r="M41" s="48" t="s">
        <v>49</v>
      </c>
      <c r="N41" s="51">
        <f t="shared" si="0"/>
        <v>2.9</v>
      </c>
      <c r="O41" s="20">
        <v>1310</v>
      </c>
      <c r="P41" s="20">
        <f t="shared" si="1"/>
        <v>3799</v>
      </c>
      <c r="Q41" s="62" t="s">
        <v>83</v>
      </c>
      <c r="R41" s="63" t="s">
        <v>86</v>
      </c>
    </row>
    <row r="42" spans="1:18" ht="19.8" x14ac:dyDescent="0.55000000000000004">
      <c r="A42" s="40"/>
      <c r="B42" s="41" t="s">
        <v>50</v>
      </c>
      <c r="C42" s="28">
        <v>3.46</v>
      </c>
      <c r="D42" s="10"/>
      <c r="E42" s="24"/>
      <c r="F42" s="12"/>
      <c r="G42" s="25"/>
      <c r="H42" s="27"/>
      <c r="I42" s="15" t="s">
        <v>108</v>
      </c>
      <c r="J42" s="16" t="s">
        <v>50</v>
      </c>
      <c r="K42" s="56">
        <v>1.1499999999999999</v>
      </c>
      <c r="L42" s="18"/>
      <c r="M42" s="48" t="s">
        <v>50</v>
      </c>
      <c r="N42" s="51">
        <f t="shared" si="0"/>
        <v>2.31</v>
      </c>
      <c r="O42" s="20">
        <v>1370</v>
      </c>
      <c r="P42" s="20">
        <f t="shared" si="1"/>
        <v>3164.7000000000003</v>
      </c>
      <c r="Q42" s="62" t="s">
        <v>81</v>
      </c>
      <c r="R42" s="63" t="s">
        <v>87</v>
      </c>
    </row>
    <row r="43" spans="1:18" ht="19.8" x14ac:dyDescent="0.55000000000000004">
      <c r="A43" s="40"/>
      <c r="B43" s="41" t="s">
        <v>51</v>
      </c>
      <c r="C43" s="28">
        <v>1.2</v>
      </c>
      <c r="D43" s="10"/>
      <c r="E43" s="24"/>
      <c r="F43" s="12"/>
      <c r="G43" s="25"/>
      <c r="H43" s="27"/>
      <c r="I43" s="15" t="s">
        <v>108</v>
      </c>
      <c r="J43" s="16" t="s">
        <v>51</v>
      </c>
      <c r="K43" s="56">
        <v>1.3</v>
      </c>
      <c r="L43" s="18"/>
      <c r="M43" s="48" t="s">
        <v>51</v>
      </c>
      <c r="N43" s="51">
        <f t="shared" si="0"/>
        <v>-0.10000000000000009</v>
      </c>
      <c r="O43" s="20">
        <v>1923</v>
      </c>
      <c r="P43" s="20">
        <f t="shared" si="1"/>
        <v>-192.30000000000018</v>
      </c>
      <c r="Q43" s="62" t="s">
        <v>88</v>
      </c>
      <c r="R43" s="63" t="s">
        <v>87</v>
      </c>
    </row>
    <row r="44" spans="1:18" ht="19.8" x14ac:dyDescent="0.55000000000000004">
      <c r="A44" s="40"/>
      <c r="B44" s="41" t="s">
        <v>52</v>
      </c>
      <c r="C44" s="28">
        <v>2.46</v>
      </c>
      <c r="D44" s="10"/>
      <c r="E44" s="24"/>
      <c r="F44" s="12"/>
      <c r="G44" s="25"/>
      <c r="H44" s="27"/>
      <c r="I44" s="15" t="s">
        <v>77</v>
      </c>
      <c r="J44" s="16" t="s">
        <v>52</v>
      </c>
      <c r="K44" s="56">
        <v>0.16</v>
      </c>
      <c r="L44" s="18"/>
      <c r="M44" s="48" t="s">
        <v>52</v>
      </c>
      <c r="N44" s="51">
        <f t="shared" si="0"/>
        <v>2.2999999999999998</v>
      </c>
      <c r="O44" s="20">
        <v>950</v>
      </c>
      <c r="P44" s="20">
        <f t="shared" si="1"/>
        <v>2185</v>
      </c>
      <c r="Q44" s="64" t="s">
        <v>81</v>
      </c>
      <c r="R44" s="63" t="s">
        <v>82</v>
      </c>
    </row>
    <row r="45" spans="1:18" ht="19.8" x14ac:dyDescent="0.55000000000000004">
      <c r="A45" s="40"/>
      <c r="B45" s="41" t="s">
        <v>53</v>
      </c>
      <c r="C45" s="28">
        <v>0</v>
      </c>
      <c r="D45" s="10"/>
      <c r="E45" s="11">
        <v>45968</v>
      </c>
      <c r="F45" s="12" t="s">
        <v>53</v>
      </c>
      <c r="G45" s="25">
        <v>2</v>
      </c>
      <c r="H45" s="27"/>
      <c r="I45" s="15" t="s">
        <v>106</v>
      </c>
      <c r="J45" s="16" t="s">
        <v>53</v>
      </c>
      <c r="K45" s="56">
        <v>0.33</v>
      </c>
      <c r="L45" s="18"/>
      <c r="M45" s="48" t="s">
        <v>53</v>
      </c>
      <c r="N45" s="51">
        <f t="shared" si="0"/>
        <v>1.67</v>
      </c>
      <c r="O45" s="20">
        <v>840</v>
      </c>
      <c r="P45" s="20">
        <f t="shared" si="1"/>
        <v>1402.8</v>
      </c>
      <c r="Q45" s="62" t="s">
        <v>83</v>
      </c>
      <c r="R45" s="63" t="s">
        <v>84</v>
      </c>
    </row>
    <row r="46" spans="1:18" ht="19.8" x14ac:dyDescent="0.55000000000000004">
      <c r="A46" s="40"/>
      <c r="B46" s="41" t="s">
        <v>54</v>
      </c>
      <c r="C46" s="28">
        <v>1</v>
      </c>
      <c r="D46" s="10"/>
      <c r="E46" s="11">
        <v>45968</v>
      </c>
      <c r="F46" s="12" t="s">
        <v>54</v>
      </c>
      <c r="G46" s="25">
        <v>2</v>
      </c>
      <c r="H46" s="27"/>
      <c r="I46" s="15" t="s">
        <v>105</v>
      </c>
      <c r="J46" s="16" t="s">
        <v>54</v>
      </c>
      <c r="K46" s="56">
        <v>0.33</v>
      </c>
      <c r="L46" s="18"/>
      <c r="M46" s="48" t="s">
        <v>54</v>
      </c>
      <c r="N46" s="51">
        <f t="shared" si="0"/>
        <v>2.67</v>
      </c>
      <c r="O46" s="20">
        <v>182</v>
      </c>
      <c r="P46" s="20">
        <f t="shared" si="1"/>
        <v>485.94</v>
      </c>
      <c r="Q46" s="62" t="s">
        <v>83</v>
      </c>
      <c r="R46" s="63" t="s">
        <v>85</v>
      </c>
    </row>
    <row r="47" spans="1:18" ht="19.8" x14ac:dyDescent="0.55000000000000004">
      <c r="A47" s="40"/>
      <c r="B47" s="41" t="s">
        <v>55</v>
      </c>
      <c r="C47" s="28">
        <v>1.7</v>
      </c>
      <c r="D47" s="10"/>
      <c r="E47" s="24"/>
      <c r="F47" s="12"/>
      <c r="G47" s="25"/>
      <c r="H47" s="27"/>
      <c r="I47" s="15" t="s">
        <v>105</v>
      </c>
      <c r="J47" s="16" t="s">
        <v>55</v>
      </c>
      <c r="K47" s="56">
        <v>8.3000000000000004E-2</v>
      </c>
      <c r="L47" s="18"/>
      <c r="M47" s="48" t="s">
        <v>55</v>
      </c>
      <c r="N47" s="51">
        <f t="shared" si="0"/>
        <v>1.617</v>
      </c>
      <c r="O47" s="20">
        <v>182</v>
      </c>
      <c r="P47" s="20">
        <f t="shared" si="1"/>
        <v>294.29399999999998</v>
      </c>
      <c r="Q47" s="62" t="s">
        <v>89</v>
      </c>
      <c r="R47" s="65"/>
    </row>
    <row r="48" spans="1:18" ht="19.8" x14ac:dyDescent="0.55000000000000004">
      <c r="A48" s="40"/>
      <c r="B48" s="41" t="s">
        <v>56</v>
      </c>
      <c r="C48" s="28">
        <v>1.6</v>
      </c>
      <c r="D48" s="10"/>
      <c r="E48" s="11" t="s">
        <v>98</v>
      </c>
      <c r="F48" s="12" t="s">
        <v>56</v>
      </c>
      <c r="G48" s="25">
        <v>2</v>
      </c>
      <c r="H48" s="27"/>
      <c r="I48" s="15" t="s">
        <v>108</v>
      </c>
      <c r="J48" s="16" t="s">
        <v>56</v>
      </c>
      <c r="K48" s="56">
        <v>2.2999999999999998</v>
      </c>
      <c r="L48" s="18"/>
      <c r="M48" s="48" t="s">
        <v>56</v>
      </c>
      <c r="N48" s="51">
        <f t="shared" si="0"/>
        <v>1.3000000000000003</v>
      </c>
      <c r="O48" s="20">
        <v>216</v>
      </c>
      <c r="P48" s="20">
        <f t="shared" si="1"/>
        <v>280.80000000000007</v>
      </c>
      <c r="Q48" s="62" t="s">
        <v>90</v>
      </c>
      <c r="R48" s="65"/>
    </row>
    <row r="49" spans="1:18" ht="15.6" x14ac:dyDescent="0.4">
      <c r="A49" s="40"/>
      <c r="B49" s="41" t="s">
        <v>14</v>
      </c>
      <c r="C49" s="28">
        <v>37</v>
      </c>
      <c r="D49" s="10"/>
      <c r="E49" s="11"/>
      <c r="F49" s="12"/>
      <c r="G49" s="25"/>
      <c r="H49" s="27"/>
      <c r="I49" s="15" t="s">
        <v>108</v>
      </c>
      <c r="J49" s="16" t="s">
        <v>14</v>
      </c>
      <c r="K49" s="56">
        <v>20</v>
      </c>
      <c r="L49" s="18"/>
      <c r="M49" s="48" t="s">
        <v>14</v>
      </c>
      <c r="N49" s="51">
        <f t="shared" si="0"/>
        <v>17</v>
      </c>
      <c r="O49" s="20">
        <v>192</v>
      </c>
      <c r="P49" s="20">
        <f t="shared" si="1"/>
        <v>3264</v>
      </c>
    </row>
    <row r="50" spans="1:18" ht="15.6" x14ac:dyDescent="0.4">
      <c r="A50" s="40"/>
      <c r="B50" s="41" t="s">
        <v>57</v>
      </c>
      <c r="C50" s="28">
        <v>12</v>
      </c>
      <c r="D50" s="10"/>
      <c r="E50" s="11"/>
      <c r="F50" s="12"/>
      <c r="G50" s="25"/>
      <c r="H50" s="27"/>
      <c r="I50" s="15"/>
      <c r="J50" s="16"/>
      <c r="K50" s="56"/>
      <c r="L50" s="18"/>
      <c r="M50" s="48" t="s">
        <v>57</v>
      </c>
      <c r="N50" s="51">
        <f t="shared" si="0"/>
        <v>12</v>
      </c>
      <c r="O50" s="20">
        <v>150</v>
      </c>
      <c r="P50" s="20">
        <f t="shared" si="1"/>
        <v>1800</v>
      </c>
    </row>
    <row r="51" spans="1:18" ht="15.6" x14ac:dyDescent="0.4">
      <c r="A51" s="40"/>
      <c r="B51" s="41" t="s">
        <v>15</v>
      </c>
      <c r="C51" s="28">
        <v>26</v>
      </c>
      <c r="D51" s="10"/>
      <c r="E51" s="11"/>
      <c r="F51" s="12"/>
      <c r="G51" s="25"/>
      <c r="H51" s="27"/>
      <c r="I51" s="15" t="s">
        <v>108</v>
      </c>
      <c r="J51" s="16" t="s">
        <v>15</v>
      </c>
      <c r="K51" s="56">
        <v>4</v>
      </c>
      <c r="L51" s="18"/>
      <c r="M51" s="48" t="s">
        <v>15</v>
      </c>
      <c r="N51" s="51">
        <f t="shared" si="0"/>
        <v>22</v>
      </c>
      <c r="O51" s="20">
        <v>1444</v>
      </c>
      <c r="P51" s="20">
        <f t="shared" si="1"/>
        <v>31768</v>
      </c>
    </row>
    <row r="52" spans="1:18" ht="15.6" x14ac:dyDescent="0.4">
      <c r="A52" s="40"/>
      <c r="B52" s="41" t="s">
        <v>16</v>
      </c>
      <c r="C52" s="28">
        <v>9</v>
      </c>
      <c r="D52" s="10"/>
      <c r="E52" s="11">
        <v>45968</v>
      </c>
      <c r="F52" s="12" t="s">
        <v>16</v>
      </c>
      <c r="G52" s="25">
        <v>5</v>
      </c>
      <c r="H52" s="27"/>
      <c r="I52" s="15" t="s">
        <v>78</v>
      </c>
      <c r="J52" s="16" t="s">
        <v>16</v>
      </c>
      <c r="K52" s="56">
        <v>3</v>
      </c>
      <c r="L52" s="18"/>
      <c r="M52" s="48" t="s">
        <v>16</v>
      </c>
      <c r="N52" s="51">
        <f t="shared" si="0"/>
        <v>11</v>
      </c>
      <c r="O52" s="20">
        <v>1444</v>
      </c>
      <c r="P52" s="20">
        <f t="shared" si="1"/>
        <v>15884</v>
      </c>
    </row>
    <row r="53" spans="1:18" ht="15.6" x14ac:dyDescent="0.4">
      <c r="A53" s="40"/>
      <c r="B53" s="41" t="s">
        <v>17</v>
      </c>
      <c r="C53" s="28">
        <v>6</v>
      </c>
      <c r="D53" s="10"/>
      <c r="E53" s="11">
        <v>45968</v>
      </c>
      <c r="F53" s="12" t="s">
        <v>17</v>
      </c>
      <c r="G53" s="25">
        <v>5</v>
      </c>
      <c r="H53" s="27"/>
      <c r="I53" s="15" t="s">
        <v>78</v>
      </c>
      <c r="J53" s="16" t="s">
        <v>17</v>
      </c>
      <c r="K53" s="56">
        <v>3</v>
      </c>
      <c r="L53" s="18"/>
      <c r="M53" s="48" t="s">
        <v>17</v>
      </c>
      <c r="N53" s="51">
        <f t="shared" si="0"/>
        <v>8</v>
      </c>
      <c r="O53" s="20">
        <v>1310</v>
      </c>
      <c r="P53" s="20">
        <f t="shared" si="1"/>
        <v>10480</v>
      </c>
    </row>
    <row r="54" spans="1:18" ht="15.6" x14ac:dyDescent="0.4">
      <c r="A54" s="40"/>
      <c r="B54" s="41" t="s">
        <v>58</v>
      </c>
      <c r="C54" s="28">
        <v>5</v>
      </c>
      <c r="D54" s="10"/>
      <c r="E54" s="24"/>
      <c r="F54" s="12"/>
      <c r="G54" s="25"/>
      <c r="H54" s="27"/>
      <c r="I54" s="17"/>
      <c r="J54" s="16"/>
      <c r="K54" s="56"/>
      <c r="L54" s="18"/>
      <c r="M54" s="48" t="s">
        <v>58</v>
      </c>
      <c r="N54" s="51">
        <f t="shared" si="0"/>
        <v>5</v>
      </c>
      <c r="O54" s="20">
        <v>292</v>
      </c>
      <c r="P54" s="20">
        <f t="shared" si="1"/>
        <v>1460</v>
      </c>
    </row>
    <row r="55" spans="1:18" ht="15.6" x14ac:dyDescent="0.4">
      <c r="A55" s="40"/>
      <c r="B55" s="41" t="s">
        <v>59</v>
      </c>
      <c r="C55" s="28">
        <v>2</v>
      </c>
      <c r="D55" s="10"/>
      <c r="E55" s="11" t="s">
        <v>98</v>
      </c>
      <c r="F55" s="12" t="s">
        <v>59</v>
      </c>
      <c r="G55" s="25">
        <v>5</v>
      </c>
      <c r="H55" s="27"/>
      <c r="I55" s="15" t="s">
        <v>109</v>
      </c>
      <c r="J55" s="16" t="s">
        <v>59</v>
      </c>
      <c r="K55" s="56">
        <v>5</v>
      </c>
      <c r="L55" s="18"/>
      <c r="M55" s="48" t="s">
        <v>59</v>
      </c>
      <c r="N55" s="51">
        <f t="shared" si="0"/>
        <v>2</v>
      </c>
      <c r="O55" s="20">
        <v>234</v>
      </c>
      <c r="P55" s="20">
        <f t="shared" si="1"/>
        <v>468</v>
      </c>
    </row>
    <row r="56" spans="1:18" ht="16.2" x14ac:dyDescent="0.45">
      <c r="A56" s="40"/>
      <c r="B56" s="59" t="s">
        <v>76</v>
      </c>
      <c r="C56" s="28"/>
      <c r="D56" s="10"/>
      <c r="E56" s="11">
        <v>45968</v>
      </c>
      <c r="F56" s="61" t="s">
        <v>76</v>
      </c>
      <c r="G56" s="25">
        <v>5</v>
      </c>
      <c r="H56" s="27"/>
      <c r="I56" s="89" t="s">
        <v>107</v>
      </c>
      <c r="J56" s="16" t="s">
        <v>76</v>
      </c>
      <c r="K56" s="56">
        <v>1.33</v>
      </c>
      <c r="L56" s="18"/>
      <c r="M56" s="60" t="s">
        <v>76</v>
      </c>
      <c r="N56" s="51">
        <f t="shared" si="0"/>
        <v>3.67</v>
      </c>
      <c r="O56" s="20">
        <v>600</v>
      </c>
      <c r="P56" s="20">
        <f t="shared" si="1"/>
        <v>2202</v>
      </c>
    </row>
    <row r="57" spans="1:18" ht="15.6" x14ac:dyDescent="0.4">
      <c r="A57" s="40"/>
      <c r="B57" s="70" t="s">
        <v>99</v>
      </c>
      <c r="C57" s="28"/>
      <c r="D57" s="10"/>
      <c r="E57" s="11" t="s">
        <v>98</v>
      </c>
      <c r="F57" s="61" t="s">
        <v>99</v>
      </c>
      <c r="G57" s="25">
        <v>2</v>
      </c>
      <c r="H57" s="27"/>
      <c r="I57" s="15" t="s">
        <v>108</v>
      </c>
      <c r="J57" s="16" t="s">
        <v>99</v>
      </c>
      <c r="K57" s="56">
        <v>0.86</v>
      </c>
      <c r="L57" s="18"/>
      <c r="M57" s="69" t="s">
        <v>99</v>
      </c>
      <c r="N57" s="51">
        <f t="shared" si="0"/>
        <v>1.1400000000000001</v>
      </c>
      <c r="O57" s="20">
        <v>1495</v>
      </c>
      <c r="P57" s="20">
        <f t="shared" si="1"/>
        <v>1704.3000000000002</v>
      </c>
    </row>
    <row r="58" spans="1:18" ht="28.2" customHeight="1" x14ac:dyDescent="0.3">
      <c r="A58" s="71"/>
      <c r="B58" s="72" t="s">
        <v>60</v>
      </c>
      <c r="C58" s="74">
        <v>147</v>
      </c>
      <c r="D58" s="75"/>
      <c r="E58" s="76" t="s">
        <v>98</v>
      </c>
      <c r="F58" s="77" t="s">
        <v>60</v>
      </c>
      <c r="G58" s="78">
        <v>670</v>
      </c>
      <c r="H58" s="79"/>
      <c r="I58" s="80" t="s">
        <v>108</v>
      </c>
      <c r="J58" s="81" t="s">
        <v>60</v>
      </c>
      <c r="K58" s="88">
        <v>608.4</v>
      </c>
      <c r="L58" s="82"/>
      <c r="M58" s="72" t="s">
        <v>60</v>
      </c>
      <c r="N58" s="83">
        <f t="shared" si="0"/>
        <v>208.60000000000002</v>
      </c>
      <c r="O58" s="73">
        <v>630</v>
      </c>
      <c r="P58" s="84">
        <f t="shared" si="1"/>
        <v>131418</v>
      </c>
    </row>
    <row r="59" spans="1:18" ht="19.8" x14ac:dyDescent="0.4">
      <c r="A59" s="40"/>
      <c r="B59" s="41" t="s">
        <v>61</v>
      </c>
      <c r="C59" s="28">
        <v>5</v>
      </c>
      <c r="D59" s="10"/>
      <c r="E59" s="24"/>
      <c r="F59" s="12"/>
      <c r="G59" s="25"/>
      <c r="H59" s="27"/>
      <c r="I59" s="15" t="s">
        <v>103</v>
      </c>
      <c r="J59" s="16" t="s">
        <v>61</v>
      </c>
      <c r="K59" s="56">
        <v>4.5</v>
      </c>
      <c r="L59" s="18"/>
      <c r="M59" s="48" t="s">
        <v>61</v>
      </c>
      <c r="N59" s="51">
        <f t="shared" si="0"/>
        <v>0.5</v>
      </c>
      <c r="O59" s="20">
        <v>1254</v>
      </c>
      <c r="P59" s="20">
        <f t="shared" si="1"/>
        <v>627</v>
      </c>
      <c r="Q59" s="66" t="s">
        <v>97</v>
      </c>
      <c r="R59" s="67" t="s">
        <v>84</v>
      </c>
    </row>
    <row r="60" spans="1:18" ht="19.8" x14ac:dyDescent="0.4">
      <c r="A60" s="40"/>
      <c r="B60" s="37" t="s">
        <v>62</v>
      </c>
      <c r="C60" s="28">
        <v>2.75</v>
      </c>
      <c r="D60" s="10"/>
      <c r="E60" s="11" t="s">
        <v>98</v>
      </c>
      <c r="F60" s="12" t="s">
        <v>62</v>
      </c>
      <c r="G60" s="25">
        <v>2</v>
      </c>
      <c r="H60" s="27"/>
      <c r="I60" s="15" t="s">
        <v>103</v>
      </c>
      <c r="J60" s="16" t="s">
        <v>62</v>
      </c>
      <c r="K60" s="56">
        <v>3.55</v>
      </c>
      <c r="L60" s="18"/>
      <c r="M60" s="52" t="s">
        <v>62</v>
      </c>
      <c r="N60" s="51">
        <f t="shared" si="0"/>
        <v>3.2</v>
      </c>
      <c r="O60" s="20">
        <v>2297</v>
      </c>
      <c r="P60" s="20">
        <f t="shared" si="1"/>
        <v>7350.4000000000005</v>
      </c>
      <c r="Q60" s="66" t="s">
        <v>94</v>
      </c>
      <c r="R60" s="67" t="s">
        <v>82</v>
      </c>
    </row>
    <row r="61" spans="1:18" ht="19.8" x14ac:dyDescent="0.4">
      <c r="A61" s="40"/>
      <c r="B61" s="37" t="s">
        <v>63</v>
      </c>
      <c r="C61" s="28">
        <v>0.83</v>
      </c>
      <c r="D61" s="10"/>
      <c r="E61" s="24"/>
      <c r="F61" s="12"/>
      <c r="G61" s="25"/>
      <c r="H61" s="27"/>
      <c r="I61" s="15" t="s">
        <v>104</v>
      </c>
      <c r="J61" s="16" t="s">
        <v>63</v>
      </c>
      <c r="K61" s="56">
        <v>0.83</v>
      </c>
      <c r="L61" s="18"/>
      <c r="M61" s="52" t="s">
        <v>63</v>
      </c>
      <c r="N61" s="51">
        <f t="shared" si="0"/>
        <v>0</v>
      </c>
      <c r="O61" s="20">
        <v>2860</v>
      </c>
      <c r="P61" s="20">
        <f t="shared" si="1"/>
        <v>0</v>
      </c>
      <c r="Q61" s="66" t="s">
        <v>83</v>
      </c>
      <c r="R61" s="67" t="s">
        <v>84</v>
      </c>
    </row>
    <row r="62" spans="1:18" ht="19.8" x14ac:dyDescent="0.4">
      <c r="A62" s="40"/>
      <c r="B62" s="37" t="s">
        <v>64</v>
      </c>
      <c r="C62" s="28">
        <v>5.25</v>
      </c>
      <c r="D62" s="10"/>
      <c r="E62" s="11" t="s">
        <v>98</v>
      </c>
      <c r="F62" s="12" t="s">
        <v>64</v>
      </c>
      <c r="G62" s="25">
        <v>5</v>
      </c>
      <c r="H62" s="27"/>
      <c r="I62" s="15" t="s">
        <v>106</v>
      </c>
      <c r="J62" s="16" t="s">
        <v>64</v>
      </c>
      <c r="K62" s="56">
        <v>3.1</v>
      </c>
      <c r="L62" s="18"/>
      <c r="M62" s="52" t="s">
        <v>64</v>
      </c>
      <c r="N62" s="51">
        <f t="shared" si="0"/>
        <v>7.15</v>
      </c>
      <c r="O62" s="20">
        <v>1915</v>
      </c>
      <c r="P62" s="20">
        <f t="shared" si="1"/>
        <v>13692.25</v>
      </c>
      <c r="Q62" s="66" t="s">
        <v>95</v>
      </c>
      <c r="R62" s="67" t="s">
        <v>85</v>
      </c>
    </row>
    <row r="63" spans="1:18" ht="19.8" x14ac:dyDescent="0.55000000000000004">
      <c r="A63" s="40"/>
      <c r="B63" s="41" t="s">
        <v>65</v>
      </c>
      <c r="C63" s="28">
        <v>3.6</v>
      </c>
      <c r="D63" s="10"/>
      <c r="E63" s="24"/>
      <c r="F63" s="12"/>
      <c r="G63" s="25"/>
      <c r="H63" s="27"/>
      <c r="I63" s="15" t="s">
        <v>102</v>
      </c>
      <c r="J63" s="16" t="s">
        <v>65</v>
      </c>
      <c r="K63" s="56">
        <v>3.6</v>
      </c>
      <c r="L63" s="18"/>
      <c r="M63" s="48" t="s">
        <v>65</v>
      </c>
      <c r="N63" s="51">
        <f t="shared" si="0"/>
        <v>0</v>
      </c>
      <c r="O63" s="20">
        <v>2475</v>
      </c>
      <c r="P63" s="20">
        <f t="shared" si="1"/>
        <v>0</v>
      </c>
      <c r="Q63" s="62" t="s">
        <v>95</v>
      </c>
      <c r="R63" s="63" t="s">
        <v>84</v>
      </c>
    </row>
    <row r="64" spans="1:18" ht="19.8" x14ac:dyDescent="0.55000000000000004">
      <c r="A64" s="40"/>
      <c r="B64" s="41" t="s">
        <v>66</v>
      </c>
      <c r="C64" s="28">
        <v>11</v>
      </c>
      <c r="D64" s="10"/>
      <c r="E64" s="24"/>
      <c r="F64" s="12"/>
      <c r="G64" s="25"/>
      <c r="H64" s="27"/>
      <c r="I64" s="15" t="s">
        <v>104</v>
      </c>
      <c r="J64" s="16" t="s">
        <v>66</v>
      </c>
      <c r="K64" s="56">
        <v>5.87</v>
      </c>
      <c r="L64" s="18"/>
      <c r="M64" s="48" t="s">
        <v>66</v>
      </c>
      <c r="N64" s="51">
        <f t="shared" si="0"/>
        <v>5.13</v>
      </c>
      <c r="O64" s="20">
        <v>1915</v>
      </c>
      <c r="P64" s="20">
        <f t="shared" si="1"/>
        <v>9823.9499999999989</v>
      </c>
      <c r="Q64" s="62" t="s">
        <v>95</v>
      </c>
      <c r="R64" s="63" t="s">
        <v>85</v>
      </c>
    </row>
    <row r="65" spans="1:18" ht="16.8" x14ac:dyDescent="0.4">
      <c r="A65" s="40"/>
      <c r="B65" s="41" t="s">
        <v>67</v>
      </c>
      <c r="C65" s="28">
        <v>4</v>
      </c>
      <c r="D65" s="10"/>
      <c r="E65" s="11">
        <v>45998</v>
      </c>
      <c r="F65" s="12" t="s">
        <v>67</v>
      </c>
      <c r="G65" s="25">
        <v>0.33</v>
      </c>
      <c r="H65" s="27"/>
      <c r="I65" s="15" t="s">
        <v>98</v>
      </c>
      <c r="J65" s="16" t="s">
        <v>67</v>
      </c>
      <c r="K65" s="56">
        <v>4.13</v>
      </c>
      <c r="L65" s="18"/>
      <c r="M65" s="48" t="s">
        <v>67</v>
      </c>
      <c r="N65" s="51">
        <f t="shared" si="0"/>
        <v>0.20000000000000018</v>
      </c>
      <c r="O65" s="20">
        <v>1680</v>
      </c>
      <c r="P65" s="20">
        <f t="shared" si="1"/>
        <v>336.00000000000028</v>
      </c>
      <c r="Q65" s="63" t="s">
        <v>91</v>
      </c>
      <c r="R65" s="63" t="s">
        <v>92</v>
      </c>
    </row>
    <row r="66" spans="1:18" ht="16.8" x14ac:dyDescent="0.4">
      <c r="A66" s="40"/>
      <c r="B66" s="41" t="s">
        <v>68</v>
      </c>
      <c r="C66" s="28">
        <v>1</v>
      </c>
      <c r="D66" s="10"/>
      <c r="E66" s="24"/>
      <c r="F66" s="12"/>
      <c r="G66" s="25"/>
      <c r="H66" s="27"/>
      <c r="I66" s="15" t="s">
        <v>79</v>
      </c>
      <c r="J66" s="16" t="s">
        <v>68</v>
      </c>
      <c r="K66" s="56">
        <v>0.93</v>
      </c>
      <c r="L66" s="18"/>
      <c r="M66" s="48" t="s">
        <v>68</v>
      </c>
      <c r="N66" s="51">
        <f t="shared" si="0"/>
        <v>6.9999999999999951E-2</v>
      </c>
      <c r="O66" s="20">
        <v>1680</v>
      </c>
      <c r="P66" s="20">
        <f t="shared" si="1"/>
        <v>117.59999999999992</v>
      </c>
      <c r="Q66" s="63" t="s">
        <v>91</v>
      </c>
      <c r="R66" s="63" t="s">
        <v>92</v>
      </c>
    </row>
    <row r="67" spans="1:18" ht="19.8" x14ac:dyDescent="0.55000000000000004">
      <c r="A67" s="40"/>
      <c r="B67" s="41" t="s">
        <v>69</v>
      </c>
      <c r="C67" s="28">
        <v>0</v>
      </c>
      <c r="D67" s="10"/>
      <c r="E67" s="24"/>
      <c r="F67" s="12"/>
      <c r="G67" s="25"/>
      <c r="H67" s="27"/>
      <c r="I67" s="15"/>
      <c r="J67" s="16"/>
      <c r="K67" s="56"/>
      <c r="L67" s="18"/>
      <c r="M67" s="48" t="s">
        <v>69</v>
      </c>
      <c r="N67" s="51">
        <f t="shared" si="0"/>
        <v>0</v>
      </c>
      <c r="O67" s="20">
        <v>1705</v>
      </c>
      <c r="P67" s="20">
        <f t="shared" si="1"/>
        <v>0</v>
      </c>
      <c r="Q67" s="62" t="s">
        <v>93</v>
      </c>
      <c r="R67" s="63" t="s">
        <v>92</v>
      </c>
    </row>
    <row r="68" spans="1:18" ht="16.8" x14ac:dyDescent="0.4">
      <c r="A68" s="40"/>
      <c r="B68" s="37" t="s">
        <v>70</v>
      </c>
      <c r="C68" s="28">
        <v>6</v>
      </c>
      <c r="D68" s="10"/>
      <c r="E68" s="24"/>
      <c r="F68" s="12"/>
      <c r="G68" s="25"/>
      <c r="H68" s="27"/>
      <c r="I68" s="15" t="s">
        <v>103</v>
      </c>
      <c r="J68" s="16" t="s">
        <v>70</v>
      </c>
      <c r="K68" s="56">
        <v>5</v>
      </c>
      <c r="L68" s="18"/>
      <c r="M68" s="52" t="s">
        <v>70</v>
      </c>
      <c r="N68" s="51">
        <f t="shared" si="0"/>
        <v>1</v>
      </c>
      <c r="O68" s="20">
        <v>500</v>
      </c>
      <c r="P68" s="20">
        <f t="shared" si="1"/>
        <v>500</v>
      </c>
      <c r="Q68" s="65"/>
      <c r="R68" s="65"/>
    </row>
    <row r="69" spans="1:18" ht="16.8" x14ac:dyDescent="0.4">
      <c r="A69" s="40"/>
      <c r="B69" s="43" t="s">
        <v>71</v>
      </c>
      <c r="C69" s="28">
        <v>4</v>
      </c>
      <c r="D69" s="10"/>
      <c r="E69" s="24"/>
      <c r="F69" s="12"/>
      <c r="G69" s="25"/>
      <c r="H69" s="27"/>
      <c r="I69" s="15">
        <v>45998</v>
      </c>
      <c r="J69" s="16" t="s">
        <v>71</v>
      </c>
      <c r="K69" s="56">
        <v>4</v>
      </c>
      <c r="L69" s="18"/>
      <c r="M69" s="53" t="s">
        <v>71</v>
      </c>
      <c r="N69" s="51">
        <f t="shared" si="0"/>
        <v>0</v>
      </c>
      <c r="O69" s="20">
        <v>600</v>
      </c>
      <c r="P69" s="20">
        <f t="shared" si="1"/>
        <v>0</v>
      </c>
      <c r="Q69" s="65"/>
      <c r="R69" s="65"/>
    </row>
    <row r="70" spans="1:18" ht="16.8" x14ac:dyDescent="0.4">
      <c r="A70" s="40"/>
      <c r="B70" s="43" t="s">
        <v>72</v>
      </c>
      <c r="C70" s="28">
        <v>14</v>
      </c>
      <c r="D70" s="10"/>
      <c r="E70" s="24"/>
      <c r="F70" s="12"/>
      <c r="G70" s="25"/>
      <c r="H70" s="27"/>
      <c r="I70" s="15" t="s">
        <v>98</v>
      </c>
      <c r="J70" s="16" t="s">
        <v>72</v>
      </c>
      <c r="K70" s="56">
        <v>14</v>
      </c>
      <c r="L70" s="18"/>
      <c r="M70" s="53" t="s">
        <v>72</v>
      </c>
      <c r="N70" s="51">
        <f t="shared" si="0"/>
        <v>0</v>
      </c>
      <c r="O70" s="20">
        <v>255</v>
      </c>
      <c r="P70" s="20">
        <f t="shared" si="1"/>
        <v>0</v>
      </c>
      <c r="Q70" s="65"/>
      <c r="R70" s="65"/>
    </row>
    <row r="71" spans="1:18" ht="19.8" x14ac:dyDescent="0.4">
      <c r="A71" s="40"/>
      <c r="B71" s="41" t="s">
        <v>73</v>
      </c>
      <c r="C71" s="28">
        <v>1</v>
      </c>
      <c r="D71" s="10"/>
      <c r="E71" s="24"/>
      <c r="F71" s="12"/>
      <c r="G71" s="25"/>
      <c r="H71" s="27"/>
      <c r="I71" s="15" t="s">
        <v>80</v>
      </c>
      <c r="J71" s="16" t="s">
        <v>73</v>
      </c>
      <c r="K71" s="56">
        <v>0.25</v>
      </c>
      <c r="L71" s="18"/>
      <c r="M71" s="48" t="s">
        <v>73</v>
      </c>
      <c r="N71" s="51">
        <f t="shared" ref="N71:N86" si="2">SUMIF($B$5:$B$86,M71,$C$5:$C$86)+SUMIF($F$5:$F$87,M71,$G$5:$G$87)-SUMIF($J$5:$J$87,M71,$K$5:$K$87)</f>
        <v>0.75</v>
      </c>
      <c r="O71" s="20">
        <v>2857</v>
      </c>
      <c r="P71" s="20">
        <f t="shared" si="1"/>
        <v>2142.75</v>
      </c>
      <c r="Q71" s="68" t="s">
        <v>87</v>
      </c>
      <c r="R71" s="68" t="s">
        <v>96</v>
      </c>
    </row>
    <row r="72" spans="1:18" ht="19.8" x14ac:dyDescent="0.4">
      <c r="A72" s="40"/>
      <c r="B72" s="41" t="s">
        <v>74</v>
      </c>
      <c r="C72" s="28">
        <v>1</v>
      </c>
      <c r="D72" s="10"/>
      <c r="E72" s="24"/>
      <c r="F72" s="29"/>
      <c r="G72" s="24"/>
      <c r="H72" s="27"/>
      <c r="I72" s="15" t="s">
        <v>80</v>
      </c>
      <c r="J72" s="15" t="s">
        <v>74</v>
      </c>
      <c r="K72" s="56">
        <v>0.25</v>
      </c>
      <c r="L72" s="18"/>
      <c r="M72" s="48" t="s">
        <v>74</v>
      </c>
      <c r="N72" s="51">
        <f t="shared" si="2"/>
        <v>0.75</v>
      </c>
      <c r="O72" s="30">
        <v>2857</v>
      </c>
      <c r="P72" s="20">
        <f t="shared" si="1"/>
        <v>2142.75</v>
      </c>
      <c r="Q72" s="68" t="s">
        <v>87</v>
      </c>
      <c r="R72" s="68" t="s">
        <v>96</v>
      </c>
    </row>
    <row r="73" spans="1:18" x14ac:dyDescent="0.3">
      <c r="A73" s="44"/>
      <c r="B73" s="45"/>
      <c r="C73" s="45"/>
      <c r="D73" s="10"/>
      <c r="E73" s="11"/>
      <c r="F73" s="29"/>
      <c r="G73" s="24"/>
      <c r="H73" s="27"/>
      <c r="I73" s="15"/>
      <c r="J73" s="15"/>
      <c r="K73" s="56"/>
      <c r="L73" s="18"/>
      <c r="M73" s="87"/>
      <c r="N73" s="51">
        <f t="shared" si="2"/>
        <v>0</v>
      </c>
      <c r="O73" s="30"/>
      <c r="P73" s="20">
        <f t="shared" ref="P73" si="3">N73*O73</f>
        <v>0</v>
      </c>
    </row>
    <row r="74" spans="1:18" x14ac:dyDescent="0.3">
      <c r="A74" s="44"/>
      <c r="B74" s="45"/>
      <c r="C74" s="45"/>
      <c r="D74" s="10"/>
      <c r="E74" s="24"/>
      <c r="F74" s="29"/>
      <c r="G74" s="24"/>
      <c r="H74" s="27"/>
      <c r="I74" s="27"/>
      <c r="J74" s="31"/>
      <c r="K74" s="56"/>
      <c r="L74" s="18"/>
      <c r="M74" s="18"/>
      <c r="N74" s="23">
        <f t="shared" si="2"/>
        <v>0</v>
      </c>
      <c r="O74" s="30"/>
      <c r="P74" s="30"/>
    </row>
    <row r="75" spans="1:18" x14ac:dyDescent="0.3">
      <c r="A75" s="44"/>
      <c r="B75" s="45"/>
      <c r="C75" s="45"/>
      <c r="D75" s="10"/>
      <c r="E75" s="24"/>
      <c r="F75" s="24"/>
      <c r="G75" s="24"/>
      <c r="H75" s="27"/>
      <c r="I75" s="27"/>
      <c r="J75" s="31"/>
      <c r="K75" s="56"/>
      <c r="L75" s="18"/>
      <c r="M75" s="18"/>
      <c r="N75" s="23">
        <f t="shared" si="2"/>
        <v>0</v>
      </c>
      <c r="O75" s="30"/>
      <c r="P75" s="30"/>
    </row>
    <row r="76" spans="1:18" x14ac:dyDescent="0.3">
      <c r="A76" s="8"/>
      <c r="B76" s="9"/>
      <c r="C76" s="9"/>
      <c r="D76" s="10"/>
      <c r="E76" s="24"/>
      <c r="F76" s="24"/>
      <c r="G76" s="24"/>
      <c r="H76" s="27"/>
      <c r="I76" s="27"/>
      <c r="J76" s="31"/>
      <c r="K76" s="56"/>
      <c r="L76" s="18"/>
      <c r="M76" s="18"/>
      <c r="N76" s="23">
        <f t="shared" si="2"/>
        <v>0</v>
      </c>
      <c r="O76" s="30"/>
      <c r="P76" s="30"/>
    </row>
    <row r="77" spans="1:18" x14ac:dyDescent="0.3">
      <c r="A77" s="8"/>
      <c r="B77" s="9"/>
      <c r="C77" s="9"/>
      <c r="D77" s="10"/>
      <c r="E77" s="24"/>
      <c r="F77" s="24"/>
      <c r="G77" s="24"/>
      <c r="H77" s="27"/>
      <c r="I77" s="27"/>
      <c r="J77" s="31"/>
      <c r="K77" s="56"/>
      <c r="L77" s="18"/>
      <c r="M77" s="18"/>
      <c r="N77" s="23">
        <f t="shared" si="2"/>
        <v>0</v>
      </c>
      <c r="O77" s="30"/>
      <c r="P77" s="30"/>
    </row>
    <row r="78" spans="1:18" x14ac:dyDescent="0.3">
      <c r="A78" s="8"/>
      <c r="B78" s="9"/>
      <c r="C78" s="9"/>
      <c r="D78" s="10"/>
      <c r="E78" s="24"/>
      <c r="F78" s="24"/>
      <c r="G78" s="24"/>
      <c r="H78" s="27"/>
      <c r="I78" s="27"/>
      <c r="J78" s="31"/>
      <c r="K78" s="56"/>
      <c r="L78" s="18"/>
      <c r="M78" s="18"/>
      <c r="N78" s="23">
        <f t="shared" si="2"/>
        <v>0</v>
      </c>
      <c r="O78" s="30"/>
      <c r="P78" s="19"/>
    </row>
    <row r="79" spans="1:18" x14ac:dyDescent="0.3">
      <c r="A79" s="8"/>
      <c r="B79" s="9"/>
      <c r="C79" s="9"/>
      <c r="D79" s="10"/>
      <c r="E79" s="24"/>
      <c r="F79" s="24"/>
      <c r="G79" s="24"/>
      <c r="H79" s="27"/>
      <c r="I79" s="27"/>
      <c r="J79" s="31"/>
      <c r="K79" s="56"/>
      <c r="L79" s="18"/>
      <c r="M79" s="18"/>
      <c r="N79" s="23">
        <f t="shared" si="2"/>
        <v>0</v>
      </c>
      <c r="O79" s="30"/>
      <c r="P79" s="19"/>
    </row>
    <row r="80" spans="1:18" x14ac:dyDescent="0.3">
      <c r="A80" s="8"/>
      <c r="B80" s="9"/>
      <c r="C80" s="9"/>
      <c r="D80" s="10"/>
      <c r="E80" s="24"/>
      <c r="F80" s="24"/>
      <c r="G80" s="24"/>
      <c r="H80" s="27"/>
      <c r="I80" s="27"/>
      <c r="J80" s="31"/>
      <c r="K80" s="56"/>
      <c r="L80" s="18"/>
      <c r="M80" s="18"/>
      <c r="N80" s="23">
        <f t="shared" si="2"/>
        <v>0</v>
      </c>
      <c r="O80" s="30"/>
      <c r="P80" s="19"/>
    </row>
    <row r="81" spans="1:16" x14ac:dyDescent="0.3">
      <c r="A81" s="8"/>
      <c r="B81" s="9"/>
      <c r="C81" s="9"/>
      <c r="D81" s="10"/>
      <c r="E81" s="24"/>
      <c r="F81" s="24"/>
      <c r="G81" s="24"/>
      <c r="H81" s="27"/>
      <c r="I81" s="27"/>
      <c r="J81" s="31"/>
      <c r="K81" s="56"/>
      <c r="L81" s="18"/>
      <c r="M81" s="18"/>
      <c r="N81" s="23">
        <f t="shared" si="2"/>
        <v>0</v>
      </c>
      <c r="O81" s="30"/>
      <c r="P81" s="19"/>
    </row>
    <row r="82" spans="1:16" x14ac:dyDescent="0.3">
      <c r="A82" s="8"/>
      <c r="B82" s="9"/>
      <c r="C82" s="9"/>
      <c r="D82" s="10"/>
      <c r="E82" s="24"/>
      <c r="F82" s="24"/>
      <c r="G82" s="24"/>
      <c r="H82" s="27"/>
      <c r="I82" s="27"/>
      <c r="J82" s="31"/>
      <c r="K82" s="56"/>
      <c r="L82" s="18"/>
      <c r="M82" s="18"/>
      <c r="N82" s="23">
        <f t="shared" si="2"/>
        <v>0</v>
      </c>
      <c r="O82" s="30"/>
      <c r="P82" s="30"/>
    </row>
    <row r="83" spans="1:16" x14ac:dyDescent="0.3">
      <c r="A83" s="8"/>
      <c r="B83" s="9"/>
      <c r="C83" s="9"/>
      <c r="D83" s="10"/>
      <c r="E83" s="24"/>
      <c r="F83" s="24"/>
      <c r="G83" s="24"/>
      <c r="H83" s="27"/>
      <c r="I83" s="27"/>
      <c r="J83" s="31"/>
      <c r="K83" s="56"/>
      <c r="L83" s="18"/>
      <c r="M83" s="18"/>
      <c r="N83" s="23">
        <f t="shared" si="2"/>
        <v>0</v>
      </c>
      <c r="O83" s="30"/>
      <c r="P83" s="30"/>
    </row>
    <row r="84" spans="1:16" x14ac:dyDescent="0.3">
      <c r="A84" s="8"/>
      <c r="B84" s="9"/>
      <c r="C84" s="9"/>
      <c r="D84" s="10"/>
      <c r="E84" s="24"/>
      <c r="F84" s="24"/>
      <c r="G84" s="24"/>
      <c r="H84" s="27"/>
      <c r="I84" s="27"/>
      <c r="J84" s="31"/>
      <c r="K84" s="56"/>
      <c r="L84" s="18"/>
      <c r="M84" s="18"/>
      <c r="N84" s="23">
        <f t="shared" si="2"/>
        <v>0</v>
      </c>
      <c r="O84" s="30"/>
      <c r="P84" s="30"/>
    </row>
    <row r="85" spans="1:16" x14ac:dyDescent="0.3">
      <c r="A85" s="8"/>
      <c r="B85" s="9"/>
      <c r="C85" s="9"/>
      <c r="D85" s="10"/>
      <c r="E85" s="24"/>
      <c r="F85" s="24"/>
      <c r="G85" s="24"/>
      <c r="H85" s="27"/>
      <c r="I85" s="27"/>
      <c r="J85" s="31"/>
      <c r="K85" s="56"/>
      <c r="L85" s="18"/>
      <c r="M85" s="18"/>
      <c r="N85" s="23">
        <f t="shared" si="2"/>
        <v>0</v>
      </c>
      <c r="O85" s="30"/>
      <c r="P85" s="30"/>
    </row>
    <row r="86" spans="1:16" ht="15" thickBot="1" x14ac:dyDescent="0.35">
      <c r="A86" s="32"/>
      <c r="B86" s="33"/>
      <c r="C86" s="33"/>
      <c r="D86" s="10"/>
      <c r="E86" s="24"/>
      <c r="F86" s="24"/>
      <c r="G86" s="24"/>
      <c r="H86" s="27"/>
      <c r="I86" s="27"/>
      <c r="J86" s="31"/>
      <c r="K86" s="27"/>
      <c r="L86" s="34"/>
      <c r="M86" s="34"/>
      <c r="N86" s="23">
        <f t="shared" si="2"/>
        <v>0</v>
      </c>
      <c r="O86" s="30"/>
      <c r="P86" s="30"/>
    </row>
    <row r="87" spans="1:16" x14ac:dyDescent="0.3">
      <c r="D87" s="10"/>
      <c r="E87" s="24"/>
      <c r="F87" s="24"/>
      <c r="G87" s="24"/>
      <c r="H87" s="27"/>
      <c r="I87" s="27"/>
      <c r="J87" s="31"/>
      <c r="K87" s="27"/>
      <c r="L87" s="34"/>
      <c r="M87" s="34"/>
      <c r="N87" s="35"/>
      <c r="O87" s="30"/>
      <c r="P87" s="54">
        <f>SUM(P5:P85)</f>
        <v>329753.99400000001</v>
      </c>
    </row>
  </sheetData>
  <mergeCells count="8">
    <mergeCell ref="A3:C3"/>
    <mergeCell ref="D3:G3"/>
    <mergeCell ref="H3:K3"/>
    <mergeCell ref="L3:N3"/>
    <mergeCell ref="A1:C1"/>
    <mergeCell ref="D1:G1"/>
    <mergeCell ref="H1:K1"/>
    <mergeCell ref="L1:N1"/>
  </mergeCells>
  <conditionalFormatting sqref="N5:N86">
    <cfRule type="cellIs" dxfId="4" priority="1" operator="lessThan">
      <formula>4</formula>
    </cfRule>
    <cfRule type="cellIs" dxfId="3" priority="2" operator="lessThan">
      <formula>3</formula>
    </cfRule>
    <cfRule type="cellIs" dxfId="2" priority="3" operator="lessThan">
      <formula>2</formula>
    </cfRule>
    <cfRule type="cellIs" dxfId="1" priority="5" operator="equal">
      <formula>1</formula>
    </cfRule>
  </conditionalFormatting>
  <conditionalFormatting sqref="N5:N85">
    <cfRule type="cellIs" dxfId="0" priority="4" operator="lessThan">
      <formula>1</formula>
    </cfRule>
  </conditionalFormatting>
  <dataValidations count="6">
    <dataValidation type="list" allowBlank="1" showInputMessage="1" showErrorMessage="1" sqref="J6:J71" xr:uid="{00000000-0002-0000-0000-000000000000}">
      <formula1>$B$5:$B$73</formula1>
    </dataValidation>
    <dataValidation type="list" allowBlank="1" showInputMessage="1" showErrorMessage="1" sqref="F6:F71" xr:uid="{00000000-0002-0000-0000-000001000000}">
      <formula1>$B$5:$B$75</formula1>
    </dataValidation>
    <dataValidation type="list" allowBlank="1" showErrorMessage="1" sqref="E18 E27 E30:E31 E74:E86 E37 E34 E47 E42:E44 E66:E72 E54 E22:E23 E25 E59 E61 E63:E64" xr:uid="{00000000-0002-0000-0000-000002000000}">
      <formula1>$J$5:$J$15</formula1>
    </dataValidation>
    <dataValidation type="list" allowBlank="1" showInputMessage="1" showErrorMessage="1" sqref="J72:J87 F72:F87" xr:uid="{00000000-0002-0000-0000-000003000000}">
      <formula1>$M$5:$M$85</formula1>
    </dataValidation>
    <dataValidation type="list" allowBlank="1" showInputMessage="1" showErrorMessage="1" sqref="F5" xr:uid="{00000000-0002-0000-0000-000004000000}">
      <formula1>$B$5:$B$72</formula1>
    </dataValidation>
    <dataValidation type="list" allowBlank="1" showInputMessage="1" showErrorMessage="1" sqref="J5" xr:uid="{00000000-0002-0000-0000-000005000000}">
      <formula1>$M$5:$M$72</formula1>
    </dataValidation>
  </dataValidations>
  <pageMargins left="0.7" right="0.7" top="0.75" bottom="0.75" header="0.3" footer="0.3"/>
  <pageSetup paperSize="9" orientation="portrait" copies="5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73E92-41BB-4317-8BC7-5520E9759CF4}">
  <sheetPr codeName="Sheet2"/>
  <dimension ref="A1:AB170"/>
  <sheetViews>
    <sheetView tabSelected="1" view="pageBreakPreview" zoomScaleNormal="100" zoomScaleSheetLayoutView="100" workbookViewId="0">
      <pane ySplit="1" topLeftCell="A41" activePane="bottomLeft" state="frozen"/>
      <selection pane="bottomLeft" activeCell="U45" sqref="U45"/>
    </sheetView>
  </sheetViews>
  <sheetFormatPr defaultRowHeight="14.4" x14ac:dyDescent="0.3"/>
  <cols>
    <col min="1" max="1" width="1.33203125" customWidth="1"/>
    <col min="2" max="2" width="4.44140625" customWidth="1"/>
    <col min="3" max="3" width="26.109375" customWidth="1"/>
    <col min="4" max="4" width="6.21875" customWidth="1"/>
    <col min="5" max="5" width="7" customWidth="1"/>
    <col min="6" max="6" width="7.88671875" customWidth="1"/>
    <col min="7" max="7" width="4.44140625" customWidth="1"/>
    <col min="8" max="8" width="8.44140625" customWidth="1"/>
    <col min="9" max="9" width="6.77734375" customWidth="1"/>
    <col min="10" max="10" width="1.21875" customWidth="1"/>
    <col min="11" max="11" width="6.44140625" customWidth="1"/>
    <col min="12" max="12" width="7.6640625" customWidth="1"/>
    <col min="13" max="13" width="12" customWidth="1"/>
    <col min="14" max="14" width="9.5546875" customWidth="1"/>
    <col min="15" max="15" width="8.21875" customWidth="1"/>
    <col min="16" max="16" width="7.21875" customWidth="1"/>
    <col min="17" max="17" width="7.109375" customWidth="1"/>
    <col min="18" max="18" width="10.33203125" customWidth="1"/>
    <col min="19" max="19" width="9" customWidth="1"/>
    <col min="20" max="20" width="10.109375" customWidth="1"/>
    <col min="21" max="21" width="8.77734375" customWidth="1"/>
    <col min="22" max="22" width="9.21875" customWidth="1"/>
  </cols>
  <sheetData>
    <row r="1" spans="2:28" ht="39.6" x14ac:dyDescent="0.3">
      <c r="B1" s="234"/>
      <c r="C1" s="606" t="s">
        <v>451</v>
      </c>
      <c r="D1" s="236" t="s">
        <v>111</v>
      </c>
      <c r="E1" s="256" t="s">
        <v>258</v>
      </c>
      <c r="F1" s="237" t="s">
        <v>112</v>
      </c>
      <c r="G1" s="237" t="s">
        <v>113</v>
      </c>
      <c r="H1" s="238" t="s">
        <v>522</v>
      </c>
      <c r="I1" s="239" t="s">
        <v>115</v>
      </c>
      <c r="J1" s="240"/>
      <c r="K1" s="107" t="s">
        <v>116</v>
      </c>
      <c r="L1" s="241" t="s">
        <v>117</v>
      </c>
      <c r="M1" s="242" t="s">
        <v>118</v>
      </c>
      <c r="N1" s="107" t="s">
        <v>119</v>
      </c>
      <c r="O1" s="107" t="s">
        <v>120</v>
      </c>
      <c r="P1" s="712" t="s">
        <v>450</v>
      </c>
      <c r="Q1" s="477" t="s">
        <v>504</v>
      </c>
      <c r="R1" s="265" t="s">
        <v>264</v>
      </c>
      <c r="S1" s="265" t="s">
        <v>262</v>
      </c>
      <c r="T1" s="273" t="s">
        <v>265</v>
      </c>
      <c r="U1" s="273"/>
      <c r="V1" s="273"/>
      <c r="W1" s="265"/>
    </row>
    <row r="2" spans="2:28" ht="16.2" thickBot="1" x14ac:dyDescent="0.35">
      <c r="B2" s="243"/>
      <c r="C2" s="340" t="s">
        <v>324</v>
      </c>
      <c r="D2" s="341"/>
      <c r="E2" s="341"/>
      <c r="F2" s="342" t="s">
        <v>248</v>
      </c>
      <c r="G2" s="841">
        <f ca="1">TODAY()</f>
        <v>46291</v>
      </c>
      <c r="H2" s="841"/>
      <c r="I2" s="343"/>
      <c r="J2" s="344"/>
      <c r="K2" s="344"/>
      <c r="L2" s="344"/>
      <c r="M2" s="339" t="s">
        <v>123</v>
      </c>
      <c r="N2" s="431">
        <v>20103</v>
      </c>
      <c r="O2" s="244"/>
      <c r="P2" s="244"/>
      <c r="Q2" s="244"/>
      <c r="R2" s="92"/>
      <c r="S2" s="92"/>
      <c r="T2" s="116"/>
      <c r="U2" s="117"/>
      <c r="V2" s="117"/>
      <c r="W2" s="106"/>
    </row>
    <row r="3" spans="2:28" ht="39.6" x14ac:dyDescent="0.3">
      <c r="B3" s="112"/>
      <c r="C3" s="245" t="s">
        <v>110</v>
      </c>
      <c r="D3" s="246" t="s">
        <v>111</v>
      </c>
      <c r="E3" s="256" t="s">
        <v>258</v>
      </c>
      <c r="F3" s="247" t="s">
        <v>112</v>
      </c>
      <c r="G3" s="247" t="s">
        <v>113</v>
      </c>
      <c r="H3" s="767" t="s">
        <v>522</v>
      </c>
      <c r="I3" s="249" t="s">
        <v>115</v>
      </c>
      <c r="J3" s="255"/>
      <c r="K3" s="252" t="s">
        <v>116</v>
      </c>
      <c r="L3" s="475" t="s">
        <v>117</v>
      </c>
      <c r="M3" s="251" t="s">
        <v>372</v>
      </c>
      <c r="N3" s="430" t="s">
        <v>119</v>
      </c>
      <c r="O3" s="250" t="s">
        <v>261</v>
      </c>
      <c r="P3" s="477" t="s">
        <v>450</v>
      </c>
      <c r="Q3" s="477" t="s">
        <v>504</v>
      </c>
      <c r="R3" s="265" t="s">
        <v>264</v>
      </c>
      <c r="S3" s="265" t="s">
        <v>262</v>
      </c>
      <c r="T3" s="266" t="s">
        <v>265</v>
      </c>
      <c r="U3" s="266" t="s">
        <v>471</v>
      </c>
      <c r="V3" s="266" t="s">
        <v>472</v>
      </c>
      <c r="W3" s="106"/>
      <c r="Z3" s="503" t="s">
        <v>404</v>
      </c>
    </row>
    <row r="4" spans="2:28" ht="19.05" customHeight="1" x14ac:dyDescent="0.65">
      <c r="B4" s="707" t="s">
        <v>124</v>
      </c>
      <c r="C4" s="111" t="s">
        <v>125</v>
      </c>
      <c r="D4" s="548">
        <v>12</v>
      </c>
      <c r="E4" s="550">
        <v>871.17</v>
      </c>
      <c r="F4" s="548">
        <v>893</v>
      </c>
      <c r="G4" s="548"/>
      <c r="H4" s="548">
        <v>893</v>
      </c>
      <c r="I4" s="318">
        <v>2</v>
      </c>
      <c r="J4" s="113"/>
      <c r="K4" s="322"/>
      <c r="L4" s="324">
        <f>I4-K4</f>
        <v>2</v>
      </c>
      <c r="M4" s="325">
        <f>L4*H4</f>
        <v>1786</v>
      </c>
      <c r="N4" s="222"/>
      <c r="O4" s="223">
        <f>N4*F4</f>
        <v>0</v>
      </c>
      <c r="P4" s="724"/>
      <c r="Q4" s="711">
        <f>P4*H4</f>
        <v>0</v>
      </c>
      <c r="R4" s="109">
        <f>I4*H4</f>
        <v>1786</v>
      </c>
      <c r="S4" s="109">
        <f>K4*H4</f>
        <v>0</v>
      </c>
      <c r="T4" s="116">
        <f>L4*H4</f>
        <v>1786</v>
      </c>
      <c r="U4" s="116">
        <v>10454</v>
      </c>
      <c r="V4" s="116">
        <f>U4*2.5/100+U4</f>
        <v>10715.35</v>
      </c>
      <c r="W4" s="106"/>
    </row>
    <row r="5" spans="2:28" ht="19.05" customHeight="1" x14ac:dyDescent="0.65">
      <c r="B5" s="707" t="s">
        <v>124</v>
      </c>
      <c r="C5" s="111" t="s">
        <v>467</v>
      </c>
      <c r="D5" s="548">
        <v>24</v>
      </c>
      <c r="E5" s="550">
        <v>438.04</v>
      </c>
      <c r="F5" s="548">
        <v>449</v>
      </c>
      <c r="G5" s="548"/>
      <c r="H5" s="548">
        <v>449</v>
      </c>
      <c r="I5" s="318"/>
      <c r="J5" s="113"/>
      <c r="K5" s="322"/>
      <c r="L5" s="324">
        <f t="shared" ref="L5:L67" si="0">I5-K5</f>
        <v>0</v>
      </c>
      <c r="M5" s="325">
        <f t="shared" ref="M5:M82" si="1">L5*H5</f>
        <v>0</v>
      </c>
      <c r="N5" s="112"/>
      <c r="O5" s="223">
        <f t="shared" ref="O5:O67" si="2">N5*F5</f>
        <v>0</v>
      </c>
      <c r="P5" s="724"/>
      <c r="Q5" s="711">
        <f t="shared" ref="Q5:Q72" si="3">P5*H5</f>
        <v>0</v>
      </c>
      <c r="R5" s="109">
        <f t="shared" ref="R5:R67" si="4">I5*H5</f>
        <v>0</v>
      </c>
      <c r="S5" s="109">
        <f t="shared" ref="S5:S67" si="5">K5*H5</f>
        <v>0</v>
      </c>
      <c r="T5" s="116">
        <f t="shared" ref="T5:T67" si="6">L5*H5</f>
        <v>0</v>
      </c>
      <c r="U5" s="116">
        <v>10513</v>
      </c>
      <c r="V5" s="116">
        <f t="shared" ref="V5:V20" si="7">U5*2.5/100+U5</f>
        <v>10775.825000000001</v>
      </c>
      <c r="W5" s="106"/>
    </row>
    <row r="6" spans="2:28" ht="19.05" customHeight="1" x14ac:dyDescent="0.65">
      <c r="B6" s="707" t="s">
        <v>124</v>
      </c>
      <c r="C6" s="613" t="s">
        <v>126</v>
      </c>
      <c r="D6" s="605">
        <v>24</v>
      </c>
      <c r="E6" s="550">
        <v>438.04</v>
      </c>
      <c r="F6" s="548">
        <v>449</v>
      </c>
      <c r="G6" s="548"/>
      <c r="H6" s="548">
        <v>449</v>
      </c>
      <c r="I6" s="318">
        <v>5</v>
      </c>
      <c r="J6" s="113"/>
      <c r="K6" s="322"/>
      <c r="L6" s="324">
        <f t="shared" si="0"/>
        <v>5</v>
      </c>
      <c r="M6" s="325">
        <f t="shared" si="1"/>
        <v>2245</v>
      </c>
      <c r="N6" s="112"/>
      <c r="O6" s="223">
        <f t="shared" si="2"/>
        <v>0</v>
      </c>
      <c r="P6" s="724"/>
      <c r="Q6" s="711">
        <f t="shared" si="3"/>
        <v>0</v>
      </c>
      <c r="R6" s="109">
        <f t="shared" si="4"/>
        <v>2245</v>
      </c>
      <c r="S6" s="109">
        <f t="shared" si="5"/>
        <v>0</v>
      </c>
      <c r="T6" s="116">
        <f t="shared" si="6"/>
        <v>2245</v>
      </c>
      <c r="U6" s="116">
        <v>10513</v>
      </c>
      <c r="V6" s="116">
        <f t="shared" si="7"/>
        <v>10775.825000000001</v>
      </c>
      <c r="W6" s="106"/>
    </row>
    <row r="7" spans="2:28" ht="19.05" customHeight="1" x14ac:dyDescent="0.65">
      <c r="B7" s="707" t="s">
        <v>124</v>
      </c>
      <c r="C7" s="111" t="s">
        <v>127</v>
      </c>
      <c r="D7" s="548">
        <v>60</v>
      </c>
      <c r="E7" s="550">
        <v>185.3</v>
      </c>
      <c r="F7" s="548">
        <v>190</v>
      </c>
      <c r="G7" s="548"/>
      <c r="H7" s="548">
        <v>190</v>
      </c>
      <c r="I7" s="318"/>
      <c r="J7" s="113"/>
      <c r="K7" s="322"/>
      <c r="L7" s="324">
        <f t="shared" si="0"/>
        <v>0</v>
      </c>
      <c r="M7" s="325">
        <f t="shared" si="1"/>
        <v>0</v>
      </c>
      <c r="N7" s="222"/>
      <c r="O7" s="223">
        <f t="shared" si="2"/>
        <v>0</v>
      </c>
      <c r="P7" s="724"/>
      <c r="Q7" s="711">
        <f t="shared" si="3"/>
        <v>0</v>
      </c>
      <c r="R7" s="109">
        <f t="shared" si="4"/>
        <v>0</v>
      </c>
      <c r="S7" s="109">
        <f t="shared" si="5"/>
        <v>0</v>
      </c>
      <c r="T7" s="116">
        <f t="shared" si="6"/>
        <v>0</v>
      </c>
      <c r="U7" s="116">
        <v>8367</v>
      </c>
      <c r="V7" s="116">
        <f t="shared" si="7"/>
        <v>8576.1749999999993</v>
      </c>
      <c r="W7" s="106"/>
      <c r="Z7" s="623" t="s">
        <v>456</v>
      </c>
      <c r="AA7" s="503" t="s">
        <v>402</v>
      </c>
      <c r="AB7">
        <v>246</v>
      </c>
    </row>
    <row r="8" spans="2:28" ht="19.05" customHeight="1" x14ac:dyDescent="0.65">
      <c r="B8" s="707" t="s">
        <v>124</v>
      </c>
      <c r="C8" s="111" t="s">
        <v>128</v>
      </c>
      <c r="D8" s="548">
        <v>120</v>
      </c>
      <c r="E8" s="550">
        <v>97.58</v>
      </c>
      <c r="F8" s="548">
        <v>100</v>
      </c>
      <c r="G8" s="548"/>
      <c r="H8" s="548">
        <v>100</v>
      </c>
      <c r="I8" s="318"/>
      <c r="J8" s="113"/>
      <c r="K8" s="322"/>
      <c r="L8" s="324">
        <f t="shared" si="0"/>
        <v>0</v>
      </c>
      <c r="M8" s="325">
        <f t="shared" si="1"/>
        <v>0</v>
      </c>
      <c r="N8" s="112"/>
      <c r="O8" s="223">
        <f t="shared" si="2"/>
        <v>0</v>
      </c>
      <c r="P8" s="724"/>
      <c r="Q8" s="711">
        <f t="shared" si="3"/>
        <v>0</v>
      </c>
      <c r="R8" s="109">
        <f t="shared" si="4"/>
        <v>0</v>
      </c>
      <c r="S8" s="109">
        <f t="shared" si="5"/>
        <v>0</v>
      </c>
      <c r="T8" s="116">
        <f t="shared" si="6"/>
        <v>0</v>
      </c>
      <c r="U8" s="116">
        <v>11706</v>
      </c>
      <c r="V8" s="116">
        <f t="shared" si="7"/>
        <v>11998.65</v>
      </c>
      <c r="W8" s="106"/>
      <c r="AB8">
        <v>2130</v>
      </c>
    </row>
    <row r="9" spans="2:28" ht="19.05" customHeight="1" x14ac:dyDescent="0.65">
      <c r="B9" s="707" t="s">
        <v>124</v>
      </c>
      <c r="C9" s="111" t="s">
        <v>129</v>
      </c>
      <c r="D9" s="548">
        <v>240</v>
      </c>
      <c r="E9" s="550">
        <v>52.21</v>
      </c>
      <c r="F9" s="548">
        <v>53.5</v>
      </c>
      <c r="G9" s="548"/>
      <c r="H9" s="548">
        <v>53.5</v>
      </c>
      <c r="I9" s="318"/>
      <c r="J9" s="113"/>
      <c r="K9" s="322"/>
      <c r="L9" s="324">
        <f t="shared" si="0"/>
        <v>0</v>
      </c>
      <c r="M9" s="325">
        <f t="shared" si="1"/>
        <v>0</v>
      </c>
      <c r="N9" s="112"/>
      <c r="O9" s="223">
        <f t="shared" si="2"/>
        <v>0</v>
      </c>
      <c r="P9" s="724"/>
      <c r="Q9" s="711">
        <f t="shared" si="3"/>
        <v>0</v>
      </c>
      <c r="R9" s="109">
        <f t="shared" si="4"/>
        <v>0</v>
      </c>
      <c r="S9" s="109">
        <f t="shared" si="5"/>
        <v>0</v>
      </c>
      <c r="T9" s="116">
        <f t="shared" si="6"/>
        <v>0</v>
      </c>
      <c r="U9" s="116">
        <v>12530</v>
      </c>
      <c r="V9" s="116">
        <f t="shared" si="7"/>
        <v>12843.25</v>
      </c>
      <c r="W9" s="106"/>
      <c r="AB9">
        <v>385</v>
      </c>
    </row>
    <row r="10" spans="2:28" ht="19.05" customHeight="1" x14ac:dyDescent="0.65">
      <c r="B10" s="707" t="s">
        <v>124</v>
      </c>
      <c r="C10" s="374" t="s">
        <v>406</v>
      </c>
      <c r="D10" s="548">
        <v>6</v>
      </c>
      <c r="E10" s="550">
        <v>1395</v>
      </c>
      <c r="F10" s="548">
        <v>1430</v>
      </c>
      <c r="G10" s="548"/>
      <c r="H10" s="548">
        <v>1430</v>
      </c>
      <c r="I10" s="318"/>
      <c r="J10" s="113"/>
      <c r="K10" s="322"/>
      <c r="L10" s="324">
        <f t="shared" si="0"/>
        <v>0</v>
      </c>
      <c r="M10" s="325">
        <f>L10*H10</f>
        <v>0</v>
      </c>
      <c r="N10" s="112"/>
      <c r="O10" s="223">
        <f t="shared" si="2"/>
        <v>0</v>
      </c>
      <c r="P10" s="724"/>
      <c r="Q10" s="711">
        <f t="shared" si="3"/>
        <v>0</v>
      </c>
      <c r="R10" s="109">
        <f t="shared" si="4"/>
        <v>0</v>
      </c>
      <c r="S10" s="109">
        <f t="shared" si="5"/>
        <v>0</v>
      </c>
      <c r="T10" s="116">
        <f t="shared" si="6"/>
        <v>0</v>
      </c>
      <c r="U10" s="116">
        <v>8370</v>
      </c>
      <c r="V10" s="116">
        <f t="shared" si="7"/>
        <v>8579.25</v>
      </c>
      <c r="W10" s="106"/>
    </row>
    <row r="11" spans="2:28" ht="19.05" customHeight="1" x14ac:dyDescent="0.65">
      <c r="B11" s="707" t="s">
        <v>124</v>
      </c>
      <c r="C11" s="111" t="s">
        <v>130</v>
      </c>
      <c r="D11" s="548">
        <v>12</v>
      </c>
      <c r="E11" s="550">
        <v>697.5</v>
      </c>
      <c r="F11" s="548">
        <v>715</v>
      </c>
      <c r="G11" s="548"/>
      <c r="H11" s="548">
        <v>715</v>
      </c>
      <c r="I11" s="318"/>
      <c r="J11" s="113"/>
      <c r="K11" s="322"/>
      <c r="L11" s="324">
        <f t="shared" si="0"/>
        <v>0</v>
      </c>
      <c r="M11" s="325">
        <f t="shared" si="1"/>
        <v>0</v>
      </c>
      <c r="N11" s="112"/>
      <c r="O11" s="223">
        <f t="shared" si="2"/>
        <v>0</v>
      </c>
      <c r="P11" s="724"/>
      <c r="Q11" s="711">
        <f t="shared" si="3"/>
        <v>0</v>
      </c>
      <c r="R11" s="109">
        <f t="shared" si="4"/>
        <v>0</v>
      </c>
      <c r="S11" s="109">
        <f t="shared" si="5"/>
        <v>0</v>
      </c>
      <c r="T11" s="116">
        <f t="shared" si="6"/>
        <v>0</v>
      </c>
      <c r="U11" s="116">
        <v>8370</v>
      </c>
      <c r="V11" s="116">
        <f t="shared" si="7"/>
        <v>8579.25</v>
      </c>
      <c r="W11" s="610"/>
      <c r="AB11">
        <v>385</v>
      </c>
    </row>
    <row r="12" spans="2:28" ht="19.05" customHeight="1" x14ac:dyDescent="0.65">
      <c r="B12" s="707" t="s">
        <v>124</v>
      </c>
      <c r="C12" s="111" t="s">
        <v>131</v>
      </c>
      <c r="D12" s="548">
        <v>24</v>
      </c>
      <c r="E12" s="550">
        <v>351.21</v>
      </c>
      <c r="F12" s="548">
        <v>360</v>
      </c>
      <c r="G12" s="548"/>
      <c r="H12" s="548">
        <v>360</v>
      </c>
      <c r="I12" s="319"/>
      <c r="J12" s="113"/>
      <c r="K12" s="322"/>
      <c r="L12" s="324">
        <f t="shared" si="0"/>
        <v>0</v>
      </c>
      <c r="M12" s="325">
        <f t="shared" si="1"/>
        <v>0</v>
      </c>
      <c r="N12" s="112"/>
      <c r="O12" s="223">
        <f t="shared" si="2"/>
        <v>0</v>
      </c>
      <c r="P12" s="724"/>
      <c r="Q12" s="711">
        <f t="shared" si="3"/>
        <v>0</v>
      </c>
      <c r="R12" s="109">
        <f t="shared" si="4"/>
        <v>0</v>
      </c>
      <c r="S12" s="109">
        <f t="shared" si="5"/>
        <v>0</v>
      </c>
      <c r="T12" s="116">
        <f t="shared" si="6"/>
        <v>0</v>
      </c>
      <c r="U12" s="116">
        <v>8429</v>
      </c>
      <c r="V12" s="116">
        <f t="shared" si="7"/>
        <v>8639.7250000000004</v>
      </c>
      <c r="W12" s="610"/>
      <c r="AB12">
        <v>1807</v>
      </c>
    </row>
    <row r="13" spans="2:28" ht="19.05" customHeight="1" x14ac:dyDescent="0.65">
      <c r="B13" s="707" t="s">
        <v>124</v>
      </c>
      <c r="C13" s="111" t="s">
        <v>132</v>
      </c>
      <c r="D13" s="548">
        <v>12</v>
      </c>
      <c r="E13" s="550">
        <v>658</v>
      </c>
      <c r="F13" s="548">
        <v>675</v>
      </c>
      <c r="G13" s="548"/>
      <c r="H13" s="548">
        <v>675</v>
      </c>
      <c r="I13" s="319">
        <v>1</v>
      </c>
      <c r="J13" s="113"/>
      <c r="K13" s="322"/>
      <c r="L13" s="324">
        <f t="shared" si="0"/>
        <v>1</v>
      </c>
      <c r="M13" s="325">
        <f t="shared" si="1"/>
        <v>675</v>
      </c>
      <c r="N13" s="112"/>
      <c r="O13" s="223">
        <f t="shared" si="2"/>
        <v>0</v>
      </c>
      <c r="P13" s="724"/>
      <c r="Q13" s="711">
        <f t="shared" si="3"/>
        <v>0</v>
      </c>
      <c r="R13" s="109">
        <f t="shared" si="4"/>
        <v>675</v>
      </c>
      <c r="S13" s="109">
        <f t="shared" si="5"/>
        <v>0</v>
      </c>
      <c r="T13" s="116">
        <f t="shared" si="6"/>
        <v>675</v>
      </c>
      <c r="U13" s="116">
        <v>8136</v>
      </c>
      <c r="V13" s="116">
        <f t="shared" si="7"/>
        <v>8339.4</v>
      </c>
      <c r="W13" s="610"/>
      <c r="AB13">
        <v>985</v>
      </c>
    </row>
    <row r="14" spans="2:28" ht="19.05" customHeight="1" x14ac:dyDescent="0.65">
      <c r="B14" s="707" t="s">
        <v>124</v>
      </c>
      <c r="C14" s="111" t="s">
        <v>133</v>
      </c>
      <c r="D14" s="548">
        <v>24</v>
      </c>
      <c r="E14" s="550">
        <v>336.6</v>
      </c>
      <c r="F14" s="548">
        <v>345</v>
      </c>
      <c r="G14" s="548"/>
      <c r="H14" s="548">
        <v>345</v>
      </c>
      <c r="I14" s="319">
        <v>34</v>
      </c>
      <c r="J14" s="113"/>
      <c r="K14" s="571">
        <v>4</v>
      </c>
      <c r="L14" s="324">
        <f t="shared" si="0"/>
        <v>30</v>
      </c>
      <c r="M14" s="325">
        <f t="shared" si="1"/>
        <v>10350</v>
      </c>
      <c r="N14" s="112"/>
      <c r="O14" s="223">
        <f t="shared" si="2"/>
        <v>0</v>
      </c>
      <c r="P14" s="724"/>
      <c r="Q14" s="711">
        <f t="shared" si="3"/>
        <v>0</v>
      </c>
      <c r="R14" s="109">
        <f t="shared" si="4"/>
        <v>11730</v>
      </c>
      <c r="S14" s="109">
        <f t="shared" si="5"/>
        <v>1380</v>
      </c>
      <c r="T14" s="116">
        <f t="shared" si="6"/>
        <v>10350</v>
      </c>
      <c r="U14" s="116">
        <v>8073</v>
      </c>
      <c r="V14" s="116">
        <f t="shared" si="7"/>
        <v>8274.8250000000007</v>
      </c>
      <c r="W14" s="611"/>
      <c r="Z14" s="219"/>
      <c r="AB14">
        <v>1273</v>
      </c>
    </row>
    <row r="15" spans="2:28" ht="19.05" customHeight="1" x14ac:dyDescent="0.65">
      <c r="B15" s="707" t="s">
        <v>124</v>
      </c>
      <c r="C15" s="111" t="s">
        <v>134</v>
      </c>
      <c r="D15" s="548">
        <v>60</v>
      </c>
      <c r="E15" s="550">
        <v>139.44999999999999</v>
      </c>
      <c r="F15" s="548">
        <v>140</v>
      </c>
      <c r="G15" s="548"/>
      <c r="H15" s="548">
        <v>140</v>
      </c>
      <c r="I15" s="319">
        <v>131</v>
      </c>
      <c r="J15" s="358">
        <v>48</v>
      </c>
      <c r="K15" s="571"/>
      <c r="L15" s="324">
        <f t="shared" si="0"/>
        <v>131</v>
      </c>
      <c r="M15" s="325">
        <f t="shared" si="1"/>
        <v>18340</v>
      </c>
      <c r="N15" s="112"/>
      <c r="O15" s="223">
        <f t="shared" si="2"/>
        <v>0</v>
      </c>
      <c r="P15" s="724"/>
      <c r="Q15" s="711">
        <f t="shared" si="3"/>
        <v>0</v>
      </c>
      <c r="R15" s="109">
        <f t="shared" si="4"/>
        <v>18340</v>
      </c>
      <c r="S15" s="109">
        <f t="shared" si="5"/>
        <v>0</v>
      </c>
      <c r="T15" s="116">
        <f t="shared" si="6"/>
        <v>18340</v>
      </c>
      <c r="U15" s="116">
        <v>8187</v>
      </c>
      <c r="V15" s="116">
        <f t="shared" si="7"/>
        <v>8391.6749999999993</v>
      </c>
      <c r="W15" s="218"/>
      <c r="AB15">
        <v>1155</v>
      </c>
    </row>
    <row r="16" spans="2:28" ht="19.05" customHeight="1" x14ac:dyDescent="0.65">
      <c r="B16" s="707" t="s">
        <v>124</v>
      </c>
      <c r="C16" s="111" t="s">
        <v>135</v>
      </c>
      <c r="D16" s="548">
        <v>480</v>
      </c>
      <c r="E16" s="550">
        <v>8</v>
      </c>
      <c r="F16" s="548">
        <v>8.3000000000000007</v>
      </c>
      <c r="G16" s="548"/>
      <c r="H16" s="552">
        <v>8.25</v>
      </c>
      <c r="I16" s="319">
        <v>120</v>
      </c>
      <c r="J16" s="113"/>
      <c r="K16" s="571"/>
      <c r="L16" s="324">
        <f t="shared" si="0"/>
        <v>120</v>
      </c>
      <c r="M16" s="325">
        <f t="shared" si="1"/>
        <v>990</v>
      </c>
      <c r="N16" s="112"/>
      <c r="O16" s="223">
        <f t="shared" si="2"/>
        <v>0</v>
      </c>
      <c r="P16" s="724"/>
      <c r="Q16" s="711">
        <f t="shared" si="3"/>
        <v>0</v>
      </c>
      <c r="R16" s="109">
        <f t="shared" si="4"/>
        <v>990</v>
      </c>
      <c r="S16" s="109">
        <f t="shared" si="5"/>
        <v>0</v>
      </c>
      <c r="T16" s="116">
        <f t="shared" si="6"/>
        <v>990</v>
      </c>
      <c r="U16" s="116">
        <v>3840</v>
      </c>
      <c r="V16" s="116">
        <f t="shared" si="7"/>
        <v>3936</v>
      </c>
      <c r="W16" s="106"/>
      <c r="AB16">
        <v>290</v>
      </c>
    </row>
    <row r="17" spans="2:28" ht="19.05" customHeight="1" x14ac:dyDescent="0.65">
      <c r="B17" s="707" t="s">
        <v>124</v>
      </c>
      <c r="C17" s="614" t="s">
        <v>136</v>
      </c>
      <c r="D17" s="548">
        <v>24</v>
      </c>
      <c r="E17" s="550">
        <v>407.5</v>
      </c>
      <c r="F17" s="548">
        <v>410</v>
      </c>
      <c r="G17" s="548"/>
      <c r="H17" s="548">
        <v>410</v>
      </c>
      <c r="I17" s="319">
        <v>22</v>
      </c>
      <c r="J17" s="113"/>
      <c r="K17" s="571">
        <v>22</v>
      </c>
      <c r="L17" s="324">
        <f t="shared" si="0"/>
        <v>0</v>
      </c>
      <c r="M17" s="325">
        <f t="shared" si="1"/>
        <v>0</v>
      </c>
      <c r="N17" s="112"/>
      <c r="O17" s="223">
        <f t="shared" si="2"/>
        <v>0</v>
      </c>
      <c r="P17" s="724"/>
      <c r="Q17" s="711">
        <f t="shared" si="3"/>
        <v>0</v>
      </c>
      <c r="R17" s="109">
        <f t="shared" si="4"/>
        <v>9020</v>
      </c>
      <c r="S17" s="109">
        <f t="shared" si="5"/>
        <v>9020</v>
      </c>
      <c r="T17" s="116">
        <f t="shared" si="6"/>
        <v>0</v>
      </c>
      <c r="U17" s="116">
        <v>8194</v>
      </c>
      <c r="V17" s="116">
        <f t="shared" si="7"/>
        <v>8398.85</v>
      </c>
      <c r="W17" s="106"/>
      <c r="AB17">
        <v>867</v>
      </c>
    </row>
    <row r="18" spans="2:28" ht="19.05" customHeight="1" x14ac:dyDescent="0.65">
      <c r="B18" s="707"/>
      <c r="C18" s="614" t="s">
        <v>536</v>
      </c>
      <c r="D18" s="548">
        <v>60</v>
      </c>
      <c r="E18" s="550">
        <v>170.6</v>
      </c>
      <c r="F18" s="548">
        <v>176</v>
      </c>
      <c r="G18" s="548"/>
      <c r="H18" s="548">
        <v>176</v>
      </c>
      <c r="I18" s="319">
        <v>6</v>
      </c>
      <c r="J18" s="113"/>
      <c r="K18" s="571">
        <v>6</v>
      </c>
      <c r="L18" s="324">
        <f t="shared" ref="L18" si="8">I18-K18</f>
        <v>0</v>
      </c>
      <c r="M18" s="325">
        <f t="shared" ref="M18" si="9">L18*H18</f>
        <v>0</v>
      </c>
      <c r="N18" s="112"/>
      <c r="O18" s="223">
        <f t="shared" ref="O18" si="10">N18*F18</f>
        <v>0</v>
      </c>
      <c r="P18" s="724"/>
      <c r="Q18" s="711">
        <f t="shared" ref="Q18" si="11">P18*H18</f>
        <v>0</v>
      </c>
      <c r="R18" s="109">
        <f t="shared" ref="R18" si="12">I18*H18</f>
        <v>1056</v>
      </c>
      <c r="S18" s="109">
        <f t="shared" ref="S18" si="13">K18*H18</f>
        <v>1056</v>
      </c>
      <c r="T18" s="116">
        <f t="shared" ref="T18" si="14">L18*H18</f>
        <v>0</v>
      </c>
      <c r="U18" s="116">
        <v>10297</v>
      </c>
      <c r="V18" s="116">
        <f t="shared" ref="V18" si="15">U18*2.5/100+U18</f>
        <v>10554.424999999999</v>
      </c>
      <c r="W18" s="106"/>
    </row>
    <row r="19" spans="2:28" ht="19.05" customHeight="1" x14ac:dyDescent="0.65">
      <c r="B19" s="707"/>
      <c r="C19" s="617" t="s">
        <v>537</v>
      </c>
      <c r="D19" s="548">
        <v>480</v>
      </c>
      <c r="E19" s="550">
        <v>17.170000000000002</v>
      </c>
      <c r="F19" s="548">
        <v>17.5</v>
      </c>
      <c r="G19" s="548"/>
      <c r="H19" s="548">
        <v>17.5</v>
      </c>
      <c r="I19" s="319"/>
      <c r="J19" s="113"/>
      <c r="K19" s="571"/>
      <c r="L19" s="324">
        <f>I19-K19</f>
        <v>0</v>
      </c>
      <c r="M19" s="325">
        <f>L19*H19</f>
        <v>0</v>
      </c>
      <c r="N19" s="112"/>
      <c r="O19" s="223">
        <f>N19*F19</f>
        <v>0</v>
      </c>
      <c r="P19" s="724"/>
      <c r="Q19" s="711">
        <f>P19*H19</f>
        <v>0</v>
      </c>
      <c r="R19" s="109">
        <f>I19*H19</f>
        <v>0</v>
      </c>
      <c r="S19" s="109">
        <f>K19*H19</f>
        <v>0</v>
      </c>
      <c r="T19" s="598">
        <f>L19*H19</f>
        <v>0</v>
      </c>
      <c r="U19" s="598">
        <v>8194</v>
      </c>
      <c r="V19" s="598">
        <f>U19*2.5/100+U19</f>
        <v>8398.85</v>
      </c>
      <c r="W19" s="106"/>
    </row>
    <row r="20" spans="2:28" ht="19.05" customHeight="1" x14ac:dyDescent="0.65">
      <c r="B20" s="707" t="s">
        <v>137</v>
      </c>
      <c r="C20" s="614" t="s">
        <v>138</v>
      </c>
      <c r="D20" s="548">
        <v>24</v>
      </c>
      <c r="E20" s="550">
        <v>365.8</v>
      </c>
      <c r="F20" s="548">
        <v>375</v>
      </c>
      <c r="G20" s="548"/>
      <c r="H20" s="548">
        <v>375</v>
      </c>
      <c r="I20" s="319"/>
      <c r="J20" s="113"/>
      <c r="K20" s="322"/>
      <c r="L20" s="324">
        <f t="shared" si="0"/>
        <v>0</v>
      </c>
      <c r="M20" s="325">
        <f t="shared" si="1"/>
        <v>0</v>
      </c>
      <c r="N20" s="112"/>
      <c r="O20" s="223">
        <f t="shared" si="2"/>
        <v>0</v>
      </c>
      <c r="P20" s="724"/>
      <c r="Q20" s="711">
        <f t="shared" si="3"/>
        <v>0</v>
      </c>
      <c r="R20" s="109">
        <f t="shared" si="4"/>
        <v>0</v>
      </c>
      <c r="S20" s="109">
        <f t="shared" si="5"/>
        <v>0</v>
      </c>
      <c r="T20" s="116">
        <f t="shared" si="6"/>
        <v>0</v>
      </c>
      <c r="U20" s="116">
        <v>8780</v>
      </c>
      <c r="V20" s="116">
        <f t="shared" si="7"/>
        <v>8999.5</v>
      </c>
      <c r="W20" s="106"/>
      <c r="AB20">
        <v>906</v>
      </c>
    </row>
    <row r="21" spans="2:28" ht="19.05" customHeight="1" x14ac:dyDescent="0.65">
      <c r="B21" s="707" t="s">
        <v>139</v>
      </c>
      <c r="C21" s="111" t="s">
        <v>140</v>
      </c>
      <c r="D21" s="548">
        <v>144</v>
      </c>
      <c r="E21" s="550">
        <v>7.6</v>
      </c>
      <c r="F21" s="549">
        <v>8</v>
      </c>
      <c r="G21" s="548"/>
      <c r="H21" s="549">
        <v>8</v>
      </c>
      <c r="I21" s="319">
        <v>108</v>
      </c>
      <c r="J21" s="113"/>
      <c r="K21" s="322">
        <v>12</v>
      </c>
      <c r="L21" s="324">
        <f t="shared" si="0"/>
        <v>96</v>
      </c>
      <c r="M21" s="325">
        <f t="shared" si="1"/>
        <v>768</v>
      </c>
      <c r="N21" s="112"/>
      <c r="O21" s="223">
        <f t="shared" si="2"/>
        <v>0</v>
      </c>
      <c r="P21" s="724"/>
      <c r="Q21" s="711">
        <f t="shared" si="3"/>
        <v>0</v>
      </c>
      <c r="R21" s="109">
        <f t="shared" si="4"/>
        <v>864</v>
      </c>
      <c r="S21" s="109">
        <f t="shared" si="5"/>
        <v>96</v>
      </c>
      <c r="T21" s="116">
        <f t="shared" si="6"/>
        <v>768</v>
      </c>
      <c r="U21" s="116">
        <v>1091</v>
      </c>
      <c r="V21" s="116">
        <f t="shared" ref="V21:V72" si="16">U21*5/100+U21</f>
        <v>1145.55</v>
      </c>
      <c r="W21" s="106"/>
      <c r="AB21">
        <v>770</v>
      </c>
    </row>
    <row r="22" spans="2:28" ht="19.05" customHeight="1" x14ac:dyDescent="0.65">
      <c r="B22" s="707" t="s">
        <v>139</v>
      </c>
      <c r="C22" s="224" t="s">
        <v>141</v>
      </c>
      <c r="D22" s="574">
        <v>48</v>
      </c>
      <c r="E22" s="575">
        <v>38</v>
      </c>
      <c r="F22" s="576">
        <v>40</v>
      </c>
      <c r="G22" s="551"/>
      <c r="H22" s="551">
        <v>40</v>
      </c>
      <c r="I22" s="319">
        <v>3</v>
      </c>
      <c r="J22" s="113"/>
      <c r="K22" s="322"/>
      <c r="L22" s="324">
        <f t="shared" si="0"/>
        <v>3</v>
      </c>
      <c r="M22" s="325">
        <f t="shared" si="1"/>
        <v>120</v>
      </c>
      <c r="N22" s="112"/>
      <c r="O22" s="223">
        <f t="shared" si="2"/>
        <v>0</v>
      </c>
      <c r="P22" s="724"/>
      <c r="Q22" s="711">
        <f t="shared" si="3"/>
        <v>0</v>
      </c>
      <c r="R22" s="109">
        <f t="shared" si="4"/>
        <v>120</v>
      </c>
      <c r="S22" s="109">
        <f t="shared" si="5"/>
        <v>0</v>
      </c>
      <c r="T22" s="116">
        <f t="shared" si="6"/>
        <v>120</v>
      </c>
      <c r="U22" s="116">
        <v>1828</v>
      </c>
      <c r="V22" s="116">
        <f t="shared" si="16"/>
        <v>1919.4</v>
      </c>
      <c r="W22" s="106"/>
      <c r="AB22">
        <v>770</v>
      </c>
    </row>
    <row r="23" spans="2:28" ht="19.05" customHeight="1" x14ac:dyDescent="0.65">
      <c r="B23" s="707" t="s">
        <v>139</v>
      </c>
      <c r="C23" s="111" t="s">
        <v>142</v>
      </c>
      <c r="D23" s="548">
        <v>12</v>
      </c>
      <c r="E23" s="550">
        <v>128.25</v>
      </c>
      <c r="F23" s="548">
        <v>135</v>
      </c>
      <c r="G23" s="548"/>
      <c r="H23" s="548">
        <v>135</v>
      </c>
      <c r="I23" s="319">
        <v>3</v>
      </c>
      <c r="J23" s="113"/>
      <c r="K23" s="322"/>
      <c r="L23" s="324">
        <f t="shared" si="0"/>
        <v>3</v>
      </c>
      <c r="M23" s="325">
        <f t="shared" si="1"/>
        <v>405</v>
      </c>
      <c r="N23" s="112"/>
      <c r="O23" s="223">
        <f t="shared" si="2"/>
        <v>0</v>
      </c>
      <c r="P23" s="724"/>
      <c r="Q23" s="711">
        <f t="shared" si="3"/>
        <v>0</v>
      </c>
      <c r="R23" s="109">
        <f t="shared" si="4"/>
        <v>405</v>
      </c>
      <c r="S23" s="109">
        <f t="shared" si="5"/>
        <v>0</v>
      </c>
      <c r="T23" s="116">
        <f t="shared" si="6"/>
        <v>405</v>
      </c>
      <c r="U23" s="116">
        <v>1536</v>
      </c>
      <c r="V23" s="116">
        <f t="shared" si="16"/>
        <v>1612.8</v>
      </c>
      <c r="W23" s="106"/>
      <c r="AB23">
        <v>900</v>
      </c>
    </row>
    <row r="24" spans="2:28" ht="19.05" customHeight="1" x14ac:dyDescent="0.65">
      <c r="B24" s="707" t="s">
        <v>139</v>
      </c>
      <c r="C24" s="614" t="s">
        <v>143</v>
      </c>
      <c r="D24" s="548">
        <v>8</v>
      </c>
      <c r="E24" s="550">
        <v>194.38</v>
      </c>
      <c r="F24" s="548">
        <v>210</v>
      </c>
      <c r="G24" s="548"/>
      <c r="H24" s="548">
        <v>210</v>
      </c>
      <c r="I24" s="319"/>
      <c r="J24" s="113"/>
      <c r="K24" s="322"/>
      <c r="L24" s="324">
        <f t="shared" si="0"/>
        <v>0</v>
      </c>
      <c r="M24" s="325">
        <f t="shared" si="1"/>
        <v>0</v>
      </c>
      <c r="N24" s="112"/>
      <c r="O24" s="223">
        <f t="shared" si="2"/>
        <v>0</v>
      </c>
      <c r="P24" s="724"/>
      <c r="Q24" s="711">
        <f t="shared" si="3"/>
        <v>0</v>
      </c>
      <c r="R24" s="109">
        <f t="shared" si="4"/>
        <v>0</v>
      </c>
      <c r="S24" s="109">
        <f t="shared" si="5"/>
        <v>0</v>
      </c>
      <c r="T24" s="116">
        <f t="shared" si="6"/>
        <v>0</v>
      </c>
      <c r="U24" s="116">
        <v>1536</v>
      </c>
      <c r="V24" s="116">
        <f t="shared" si="16"/>
        <v>1612.8</v>
      </c>
      <c r="W24" s="106"/>
      <c r="AB24">
        <v>900</v>
      </c>
    </row>
    <row r="25" spans="2:28" ht="19.05" customHeight="1" x14ac:dyDescent="0.65">
      <c r="B25" s="707" t="s">
        <v>139</v>
      </c>
      <c r="C25" s="111" t="s">
        <v>382</v>
      </c>
      <c r="D25" s="548">
        <v>6</v>
      </c>
      <c r="E25" s="550">
        <v>266</v>
      </c>
      <c r="F25" s="548">
        <v>274</v>
      </c>
      <c r="G25" s="548"/>
      <c r="H25" s="548">
        <v>275</v>
      </c>
      <c r="I25" s="319"/>
      <c r="J25" s="113"/>
      <c r="K25" s="322"/>
      <c r="L25" s="324">
        <f t="shared" si="0"/>
        <v>0</v>
      </c>
      <c r="M25" s="325">
        <f t="shared" ref="M25" si="17">L25*H25</f>
        <v>0</v>
      </c>
      <c r="N25" s="112"/>
      <c r="O25" s="223">
        <f t="shared" si="2"/>
        <v>0</v>
      </c>
      <c r="P25" s="724"/>
      <c r="Q25" s="711">
        <f t="shared" si="3"/>
        <v>0</v>
      </c>
      <c r="R25" s="109">
        <f t="shared" si="4"/>
        <v>0</v>
      </c>
      <c r="S25" s="109">
        <f t="shared" si="5"/>
        <v>0</v>
      </c>
      <c r="T25" s="116">
        <f t="shared" si="6"/>
        <v>0</v>
      </c>
      <c r="U25" s="116">
        <v>1567</v>
      </c>
      <c r="V25" s="116">
        <f t="shared" si="16"/>
        <v>1645.35</v>
      </c>
      <c r="W25" s="106"/>
    </row>
    <row r="26" spans="2:28" ht="19.05" customHeight="1" x14ac:dyDescent="0.65">
      <c r="B26" s="707" t="s">
        <v>139</v>
      </c>
      <c r="C26" s="111" t="s">
        <v>144</v>
      </c>
      <c r="D26" s="548">
        <v>24</v>
      </c>
      <c r="E26" s="553">
        <v>84.71</v>
      </c>
      <c r="F26" s="548">
        <v>96</v>
      </c>
      <c r="G26" s="549"/>
      <c r="H26" s="548">
        <v>96</v>
      </c>
      <c r="I26" s="319">
        <v>3</v>
      </c>
      <c r="J26" s="113"/>
      <c r="K26" s="322"/>
      <c r="L26" s="324">
        <f t="shared" si="0"/>
        <v>3</v>
      </c>
      <c r="M26" s="325">
        <f t="shared" si="1"/>
        <v>288</v>
      </c>
      <c r="N26" s="112"/>
      <c r="O26" s="223">
        <f t="shared" si="2"/>
        <v>0</v>
      </c>
      <c r="P26" s="724"/>
      <c r="Q26" s="711">
        <f t="shared" si="3"/>
        <v>0</v>
      </c>
      <c r="R26" s="109">
        <f t="shared" si="4"/>
        <v>288</v>
      </c>
      <c r="S26" s="109">
        <f t="shared" si="5"/>
        <v>0</v>
      </c>
      <c r="T26" s="116">
        <f t="shared" si="6"/>
        <v>288</v>
      </c>
      <c r="U26" s="116">
        <v>2193</v>
      </c>
      <c r="V26" s="116">
        <f t="shared" si="16"/>
        <v>2302.65</v>
      </c>
      <c r="W26" s="106"/>
      <c r="AB26">
        <v>1405</v>
      </c>
    </row>
    <row r="27" spans="2:28" ht="19.05" customHeight="1" x14ac:dyDescent="0.65">
      <c r="B27" s="707" t="s">
        <v>139</v>
      </c>
      <c r="C27" s="111" t="s">
        <v>145</v>
      </c>
      <c r="D27" s="548">
        <v>12</v>
      </c>
      <c r="E27" s="550">
        <v>173.33</v>
      </c>
      <c r="F27" s="577">
        <v>190</v>
      </c>
      <c r="G27" s="548"/>
      <c r="H27" s="548">
        <v>190</v>
      </c>
      <c r="I27" s="319">
        <v>3</v>
      </c>
      <c r="J27" s="113"/>
      <c r="K27" s="322"/>
      <c r="L27" s="324">
        <f t="shared" si="0"/>
        <v>3</v>
      </c>
      <c r="M27" s="325">
        <f t="shared" si="1"/>
        <v>570</v>
      </c>
      <c r="N27" s="112"/>
      <c r="O27" s="223">
        <f t="shared" si="2"/>
        <v>0</v>
      </c>
      <c r="P27" s="724"/>
      <c r="Q27" s="711">
        <f t="shared" si="3"/>
        <v>0</v>
      </c>
      <c r="R27" s="109">
        <f t="shared" si="4"/>
        <v>570</v>
      </c>
      <c r="S27" s="109">
        <f t="shared" si="5"/>
        <v>0</v>
      </c>
      <c r="T27" s="116">
        <f t="shared" si="6"/>
        <v>570</v>
      </c>
      <c r="U27" s="116">
        <v>2171.4299999999998</v>
      </c>
      <c r="V27" s="116">
        <f t="shared" si="16"/>
        <v>2280.0014999999999</v>
      </c>
      <c r="W27" s="106"/>
      <c r="AB27">
        <v>715</v>
      </c>
    </row>
    <row r="28" spans="2:28" ht="19.05" customHeight="1" x14ac:dyDescent="0.65">
      <c r="B28" s="707" t="s">
        <v>139</v>
      </c>
      <c r="C28" s="111" t="s">
        <v>146</v>
      </c>
      <c r="D28" s="548">
        <v>12</v>
      </c>
      <c r="E28" s="550">
        <v>200</v>
      </c>
      <c r="F28" s="548">
        <v>210</v>
      </c>
      <c r="G28" s="548"/>
      <c r="H28" s="548">
        <v>210</v>
      </c>
      <c r="I28" s="319"/>
      <c r="J28" s="113"/>
      <c r="K28" s="322"/>
      <c r="L28" s="324">
        <f>I28-K28</f>
        <v>0</v>
      </c>
      <c r="M28" s="325">
        <f t="shared" si="1"/>
        <v>0</v>
      </c>
      <c r="N28" s="112"/>
      <c r="O28" s="223">
        <f t="shared" si="2"/>
        <v>0</v>
      </c>
      <c r="P28" s="724"/>
      <c r="Q28" s="711">
        <f t="shared" si="3"/>
        <v>0</v>
      </c>
      <c r="R28" s="109">
        <f t="shared" si="4"/>
        <v>0</v>
      </c>
      <c r="S28" s="109">
        <f t="shared" si="5"/>
        <v>0</v>
      </c>
      <c r="T28" s="116">
        <f t="shared" si="6"/>
        <v>0</v>
      </c>
      <c r="U28" s="116">
        <v>25400</v>
      </c>
      <c r="V28" s="116">
        <f t="shared" si="16"/>
        <v>26670</v>
      </c>
      <c r="W28" s="106"/>
      <c r="AB28">
        <v>576</v>
      </c>
    </row>
    <row r="29" spans="2:28" ht="19.05" customHeight="1" x14ac:dyDescent="0.65">
      <c r="B29" s="707" t="s">
        <v>139</v>
      </c>
      <c r="C29" s="257" t="s">
        <v>147</v>
      </c>
      <c r="D29" s="548">
        <v>24</v>
      </c>
      <c r="E29" s="553">
        <v>18.920000000000002</v>
      </c>
      <c r="F29" s="548">
        <v>20</v>
      </c>
      <c r="G29" s="548"/>
      <c r="H29" s="548">
        <v>20</v>
      </c>
      <c r="I29" s="319"/>
      <c r="J29" s="113"/>
      <c r="K29" s="322"/>
      <c r="L29" s="324">
        <f>I29-K29</f>
        <v>0</v>
      </c>
      <c r="M29" s="325">
        <f t="shared" si="1"/>
        <v>0</v>
      </c>
      <c r="N29" s="112"/>
      <c r="O29" s="223">
        <f t="shared" si="2"/>
        <v>0</v>
      </c>
      <c r="P29" s="766">
        <v>3</v>
      </c>
      <c r="Q29" s="711">
        <f t="shared" si="3"/>
        <v>60</v>
      </c>
      <c r="R29" s="109">
        <f t="shared" si="4"/>
        <v>0</v>
      </c>
      <c r="S29" s="109">
        <f t="shared" si="5"/>
        <v>0</v>
      </c>
      <c r="T29" s="116">
        <f t="shared" si="6"/>
        <v>0</v>
      </c>
      <c r="U29" s="116">
        <v>454</v>
      </c>
      <c r="V29" s="116">
        <f t="shared" si="16"/>
        <v>476.7</v>
      </c>
      <c r="W29" s="106"/>
      <c r="AB29">
        <v>1456</v>
      </c>
    </row>
    <row r="30" spans="2:28" ht="19.05" customHeight="1" x14ac:dyDescent="0.65">
      <c r="B30" s="707" t="s">
        <v>139</v>
      </c>
      <c r="C30" s="257" t="s">
        <v>148</v>
      </c>
      <c r="D30" s="548">
        <v>24</v>
      </c>
      <c r="E30" s="553">
        <v>37.92</v>
      </c>
      <c r="F30" s="548">
        <v>40</v>
      </c>
      <c r="G30" s="548"/>
      <c r="H30" s="548">
        <v>40</v>
      </c>
      <c r="I30" s="319"/>
      <c r="J30" s="113"/>
      <c r="K30" s="322"/>
      <c r="L30" s="324">
        <f t="shared" si="0"/>
        <v>0</v>
      </c>
      <c r="M30" s="325">
        <f t="shared" si="1"/>
        <v>0</v>
      </c>
      <c r="N30" s="112"/>
      <c r="O30" s="223">
        <f t="shared" si="2"/>
        <v>0</v>
      </c>
      <c r="P30" s="766">
        <v>2</v>
      </c>
      <c r="Q30" s="711">
        <f t="shared" si="3"/>
        <v>80</v>
      </c>
      <c r="R30" s="109">
        <f t="shared" si="4"/>
        <v>0</v>
      </c>
      <c r="S30" s="109">
        <f t="shared" si="5"/>
        <v>0</v>
      </c>
      <c r="T30" s="116">
        <f t="shared" si="6"/>
        <v>0</v>
      </c>
      <c r="U30" s="116">
        <v>910</v>
      </c>
      <c r="V30" s="116">
        <f t="shared" si="16"/>
        <v>955.5</v>
      </c>
      <c r="W30" s="106"/>
      <c r="AB30">
        <v>385</v>
      </c>
    </row>
    <row r="31" spans="2:28" ht="19.05" customHeight="1" x14ac:dyDescent="0.65">
      <c r="B31" s="707" t="s">
        <v>139</v>
      </c>
      <c r="C31" s="257" t="s">
        <v>213</v>
      </c>
      <c r="D31" s="548">
        <v>24</v>
      </c>
      <c r="E31" s="550">
        <v>16.420000000000002</v>
      </c>
      <c r="F31" s="548">
        <v>17.25</v>
      </c>
      <c r="G31" s="548"/>
      <c r="H31" s="548">
        <v>17.25</v>
      </c>
      <c r="I31" s="319"/>
      <c r="J31" s="113"/>
      <c r="K31" s="322"/>
      <c r="L31" s="324">
        <f t="shared" si="0"/>
        <v>0</v>
      </c>
      <c r="M31" s="325">
        <f t="shared" si="1"/>
        <v>0</v>
      </c>
      <c r="N31" s="112"/>
      <c r="O31" s="223">
        <f t="shared" si="2"/>
        <v>0</v>
      </c>
      <c r="P31" s="766"/>
      <c r="Q31" s="711">
        <f t="shared" si="3"/>
        <v>0</v>
      </c>
      <c r="R31" s="109">
        <f t="shared" si="4"/>
        <v>0</v>
      </c>
      <c r="S31" s="109">
        <f t="shared" si="5"/>
        <v>0</v>
      </c>
      <c r="T31" s="116">
        <f t="shared" si="6"/>
        <v>0</v>
      </c>
      <c r="U31" s="116">
        <v>1474</v>
      </c>
      <c r="V31" s="116">
        <f t="shared" si="16"/>
        <v>1547.7</v>
      </c>
      <c r="W31" s="106"/>
      <c r="AB31">
        <v>385</v>
      </c>
    </row>
    <row r="32" spans="2:28" ht="19.05" customHeight="1" x14ac:dyDescent="0.65">
      <c r="B32" s="707" t="s">
        <v>139</v>
      </c>
      <c r="C32" s="257" t="s">
        <v>149</v>
      </c>
      <c r="D32" s="548">
        <v>24</v>
      </c>
      <c r="E32" s="550">
        <v>47.58</v>
      </c>
      <c r="F32" s="548">
        <v>50</v>
      </c>
      <c r="G32" s="548"/>
      <c r="H32" s="548">
        <v>50</v>
      </c>
      <c r="I32" s="319"/>
      <c r="J32" s="113"/>
      <c r="K32" s="322"/>
      <c r="L32" s="324">
        <f t="shared" si="0"/>
        <v>0</v>
      </c>
      <c r="M32" s="325">
        <f t="shared" si="1"/>
        <v>0</v>
      </c>
      <c r="N32" s="112"/>
      <c r="O32" s="223">
        <f t="shared" si="2"/>
        <v>0</v>
      </c>
      <c r="P32" s="766"/>
      <c r="Q32" s="711">
        <f t="shared" si="3"/>
        <v>0</v>
      </c>
      <c r="R32" s="109">
        <f t="shared" si="4"/>
        <v>0</v>
      </c>
      <c r="S32" s="109">
        <f t="shared" si="5"/>
        <v>0</v>
      </c>
      <c r="T32" s="116">
        <f t="shared" si="6"/>
        <v>0</v>
      </c>
      <c r="U32" s="116">
        <v>1142</v>
      </c>
      <c r="V32" s="116">
        <f t="shared" si="16"/>
        <v>1199.0999999999999</v>
      </c>
      <c r="W32" s="106"/>
      <c r="AB32">
        <v>10680</v>
      </c>
    </row>
    <row r="33" spans="1:28" ht="19.05" customHeight="1" x14ac:dyDescent="0.65">
      <c r="A33">
        <v>24</v>
      </c>
      <c r="B33" s="707" t="s">
        <v>150</v>
      </c>
      <c r="C33" s="111" t="s">
        <v>152</v>
      </c>
      <c r="D33" s="548">
        <v>96</v>
      </c>
      <c r="E33" s="553">
        <v>15.35</v>
      </c>
      <c r="F33" s="549">
        <v>15.5</v>
      </c>
      <c r="G33" s="548">
        <v>0.66</v>
      </c>
      <c r="H33" s="548">
        <v>16.13</v>
      </c>
      <c r="I33" s="319">
        <v>336</v>
      </c>
      <c r="J33" s="113"/>
      <c r="K33" s="322">
        <v>48</v>
      </c>
      <c r="L33" s="324">
        <f t="shared" si="0"/>
        <v>288</v>
      </c>
      <c r="M33" s="325">
        <f t="shared" si="1"/>
        <v>4645.4399999999996</v>
      </c>
      <c r="N33" s="112"/>
      <c r="O33" s="505">
        <f t="shared" si="2"/>
        <v>0</v>
      </c>
      <c r="P33" s="724"/>
      <c r="Q33" s="711">
        <f t="shared" si="3"/>
        <v>0</v>
      </c>
      <c r="R33" s="109">
        <f t="shared" si="4"/>
        <v>5419.6799999999994</v>
      </c>
      <c r="S33" s="109">
        <f t="shared" si="5"/>
        <v>774.24</v>
      </c>
      <c r="T33" s="116">
        <f t="shared" si="6"/>
        <v>4645.4399999999996</v>
      </c>
      <c r="U33" s="116">
        <v>1474</v>
      </c>
      <c r="V33" s="116">
        <f t="shared" si="16"/>
        <v>1547.7</v>
      </c>
      <c r="W33" s="106"/>
      <c r="AB33">
        <v>1536</v>
      </c>
    </row>
    <row r="34" spans="1:28" ht="19.05" customHeight="1" x14ac:dyDescent="0.65">
      <c r="B34" s="707" t="s">
        <v>150</v>
      </c>
      <c r="C34" s="111" t="s">
        <v>153</v>
      </c>
      <c r="D34" s="548">
        <v>96</v>
      </c>
      <c r="E34" s="553">
        <v>15.35</v>
      </c>
      <c r="F34" s="549">
        <v>15.5</v>
      </c>
      <c r="G34" s="548">
        <v>0.66</v>
      </c>
      <c r="H34" s="548">
        <v>16.13</v>
      </c>
      <c r="I34" s="319"/>
      <c r="J34" s="113"/>
      <c r="K34" s="322"/>
      <c r="L34" s="324">
        <f t="shared" si="0"/>
        <v>0</v>
      </c>
      <c r="M34" s="325">
        <f t="shared" si="1"/>
        <v>0</v>
      </c>
      <c r="N34" s="112"/>
      <c r="O34" s="505">
        <f t="shared" si="2"/>
        <v>0</v>
      </c>
      <c r="P34" s="724"/>
      <c r="Q34" s="711">
        <f t="shared" si="3"/>
        <v>0</v>
      </c>
      <c r="R34" s="109">
        <f t="shared" si="4"/>
        <v>0</v>
      </c>
      <c r="S34" s="109">
        <f t="shared" si="5"/>
        <v>0</v>
      </c>
      <c r="T34" s="116">
        <f t="shared" si="6"/>
        <v>0</v>
      </c>
      <c r="U34" s="116">
        <v>1474</v>
      </c>
      <c r="V34" s="116">
        <f t="shared" si="16"/>
        <v>1547.7</v>
      </c>
      <c r="W34" s="106"/>
      <c r="AB34">
        <v>300</v>
      </c>
    </row>
    <row r="35" spans="1:28" ht="19.05" customHeight="1" x14ac:dyDescent="0.65">
      <c r="A35">
        <v>72</v>
      </c>
      <c r="B35" s="707" t="s">
        <v>150</v>
      </c>
      <c r="C35" s="613" t="s">
        <v>454</v>
      </c>
      <c r="D35" s="548">
        <v>96</v>
      </c>
      <c r="E35" s="550">
        <v>11.42</v>
      </c>
      <c r="F35" s="549">
        <v>12</v>
      </c>
      <c r="G35" s="548"/>
      <c r="H35" s="548">
        <v>12</v>
      </c>
      <c r="I35" s="319"/>
      <c r="J35" s="113"/>
      <c r="K35" s="322"/>
      <c r="L35" s="324">
        <f t="shared" si="0"/>
        <v>0</v>
      </c>
      <c r="M35" s="325">
        <f t="shared" si="1"/>
        <v>0</v>
      </c>
      <c r="N35" s="112"/>
      <c r="O35" s="505">
        <f t="shared" si="2"/>
        <v>0</v>
      </c>
      <c r="P35" s="724"/>
      <c r="Q35" s="711">
        <f t="shared" si="3"/>
        <v>0</v>
      </c>
      <c r="R35" s="109">
        <f t="shared" si="4"/>
        <v>0</v>
      </c>
      <c r="S35" s="109">
        <f t="shared" si="5"/>
        <v>0</v>
      </c>
      <c r="T35" s="116">
        <f t="shared" si="6"/>
        <v>0</v>
      </c>
      <c r="U35" s="116"/>
      <c r="V35" s="116">
        <f t="shared" si="16"/>
        <v>0</v>
      </c>
      <c r="W35" s="106"/>
      <c r="AB35">
        <v>770</v>
      </c>
    </row>
    <row r="36" spans="1:28" ht="19.05" customHeight="1" x14ac:dyDescent="0.65">
      <c r="B36" s="707" t="s">
        <v>150</v>
      </c>
      <c r="C36" s="111" t="s">
        <v>155</v>
      </c>
      <c r="D36" s="548">
        <v>96</v>
      </c>
      <c r="E36" s="553">
        <v>15.35</v>
      </c>
      <c r="F36" s="549">
        <v>15.5</v>
      </c>
      <c r="G36" s="548">
        <v>0.66</v>
      </c>
      <c r="H36" s="548">
        <v>16.13</v>
      </c>
      <c r="I36" s="319"/>
      <c r="J36" s="113"/>
      <c r="K36" s="322"/>
      <c r="L36" s="324">
        <f t="shared" si="0"/>
        <v>0</v>
      </c>
      <c r="M36" s="325">
        <f t="shared" si="1"/>
        <v>0</v>
      </c>
      <c r="N36" s="112"/>
      <c r="O36" s="505">
        <f t="shared" si="2"/>
        <v>0</v>
      </c>
      <c r="P36" s="724"/>
      <c r="Q36" s="711">
        <f t="shared" si="3"/>
        <v>0</v>
      </c>
      <c r="R36" s="109">
        <f t="shared" si="4"/>
        <v>0</v>
      </c>
      <c r="S36" s="109">
        <f t="shared" si="5"/>
        <v>0</v>
      </c>
      <c r="T36" s="116">
        <f t="shared" si="6"/>
        <v>0</v>
      </c>
      <c r="U36" s="116">
        <v>1474</v>
      </c>
      <c r="V36" s="116">
        <f t="shared" si="16"/>
        <v>1547.7</v>
      </c>
      <c r="W36" s="106"/>
      <c r="AB36">
        <v>385</v>
      </c>
    </row>
    <row r="37" spans="1:28" ht="19.05" customHeight="1" x14ac:dyDescent="0.65">
      <c r="B37" s="707" t="s">
        <v>150</v>
      </c>
      <c r="C37" s="111" t="s">
        <v>156</v>
      </c>
      <c r="D37" s="548">
        <v>96</v>
      </c>
      <c r="E37" s="553">
        <v>15.35</v>
      </c>
      <c r="F37" s="549">
        <v>15.5</v>
      </c>
      <c r="G37" s="548">
        <v>0.66</v>
      </c>
      <c r="H37" s="548">
        <v>16.13</v>
      </c>
      <c r="I37" s="319"/>
      <c r="J37" s="113"/>
      <c r="K37" s="322"/>
      <c r="L37" s="324">
        <f t="shared" si="0"/>
        <v>0</v>
      </c>
      <c r="M37" s="325">
        <f t="shared" ref="M37" si="18">L37*H37</f>
        <v>0</v>
      </c>
      <c r="N37" s="112">
        <v>24</v>
      </c>
      <c r="O37" s="505">
        <f t="shared" si="2"/>
        <v>372</v>
      </c>
      <c r="P37" s="724"/>
      <c r="Q37" s="711">
        <f t="shared" si="3"/>
        <v>0</v>
      </c>
      <c r="R37" s="109">
        <f t="shared" si="4"/>
        <v>0</v>
      </c>
      <c r="S37" s="109">
        <f t="shared" si="5"/>
        <v>0</v>
      </c>
      <c r="T37" s="116">
        <f t="shared" si="6"/>
        <v>0</v>
      </c>
      <c r="U37" s="116">
        <v>1474</v>
      </c>
      <c r="V37" s="116">
        <f t="shared" si="16"/>
        <v>1547.7</v>
      </c>
      <c r="W37" s="106"/>
      <c r="AB37">
        <v>225</v>
      </c>
    </row>
    <row r="38" spans="1:28" ht="19.05" customHeight="1" x14ac:dyDescent="0.65">
      <c r="A38">
        <v>4</v>
      </c>
      <c r="B38" s="707" t="s">
        <v>150</v>
      </c>
      <c r="C38" s="111" t="s">
        <v>157</v>
      </c>
      <c r="D38" s="548">
        <v>96</v>
      </c>
      <c r="E38" s="553">
        <v>15.35</v>
      </c>
      <c r="F38" s="549">
        <v>15.5</v>
      </c>
      <c r="G38" s="548">
        <v>0.66</v>
      </c>
      <c r="H38" s="548">
        <v>16.13</v>
      </c>
      <c r="I38" s="319">
        <v>720</v>
      </c>
      <c r="J38" s="113"/>
      <c r="K38" s="322">
        <v>15</v>
      </c>
      <c r="L38" s="324">
        <f t="shared" si="0"/>
        <v>705</v>
      </c>
      <c r="M38" s="325">
        <f t="shared" si="1"/>
        <v>11371.65</v>
      </c>
      <c r="N38" s="112">
        <v>10</v>
      </c>
      <c r="O38" s="768">
        <f t="shared" si="2"/>
        <v>155</v>
      </c>
      <c r="P38" s="724"/>
      <c r="Q38" s="711">
        <f t="shared" si="3"/>
        <v>0</v>
      </c>
      <c r="R38" s="109">
        <f t="shared" si="4"/>
        <v>11613.599999999999</v>
      </c>
      <c r="S38" s="109">
        <f t="shared" si="5"/>
        <v>241.95</v>
      </c>
      <c r="T38" s="116">
        <f t="shared" si="6"/>
        <v>11371.65</v>
      </c>
      <c r="U38" s="116">
        <v>1474</v>
      </c>
      <c r="V38" s="116">
        <f t="shared" si="16"/>
        <v>1547.7</v>
      </c>
      <c r="W38" s="106"/>
    </row>
    <row r="39" spans="1:28" ht="19.05" customHeight="1" x14ac:dyDescent="0.65">
      <c r="B39" s="707" t="s">
        <v>150</v>
      </c>
      <c r="C39" s="111" t="s">
        <v>158</v>
      </c>
      <c r="D39" s="548">
        <v>96</v>
      </c>
      <c r="E39" s="550">
        <v>7.36</v>
      </c>
      <c r="F39" s="548">
        <v>8</v>
      </c>
      <c r="G39" s="550"/>
      <c r="H39" s="548">
        <v>8</v>
      </c>
      <c r="I39" s="319"/>
      <c r="J39" s="113">
        <v>2</v>
      </c>
      <c r="K39" s="322"/>
      <c r="L39" s="324">
        <f t="shared" si="0"/>
        <v>0</v>
      </c>
      <c r="M39" s="325">
        <f t="shared" si="1"/>
        <v>0</v>
      </c>
      <c r="N39" s="112"/>
      <c r="O39" s="223">
        <f t="shared" si="2"/>
        <v>0</v>
      </c>
      <c r="P39" s="724"/>
      <c r="Q39" s="711">
        <f t="shared" si="3"/>
        <v>0</v>
      </c>
      <c r="R39" s="109">
        <f t="shared" si="4"/>
        <v>0</v>
      </c>
      <c r="S39" s="109">
        <f t="shared" si="5"/>
        <v>0</v>
      </c>
      <c r="T39" s="116">
        <f t="shared" si="6"/>
        <v>0</v>
      </c>
      <c r="U39" s="116">
        <v>707</v>
      </c>
      <c r="V39" s="116">
        <f t="shared" si="16"/>
        <v>742.35</v>
      </c>
      <c r="W39" s="106"/>
    </row>
    <row r="40" spans="1:28" ht="19.05" customHeight="1" x14ac:dyDescent="0.65">
      <c r="B40" s="707" t="s">
        <v>150</v>
      </c>
      <c r="C40" s="111" t="s">
        <v>159</v>
      </c>
      <c r="D40" s="548">
        <v>96</v>
      </c>
      <c r="E40" s="550">
        <v>7.36</v>
      </c>
      <c r="F40" s="551">
        <v>8</v>
      </c>
      <c r="G40" s="708"/>
      <c r="H40" s="548">
        <v>8</v>
      </c>
      <c r="I40" s="319">
        <v>24</v>
      </c>
      <c r="J40" s="113"/>
      <c r="K40" s="322"/>
      <c r="L40" s="324">
        <f t="shared" si="0"/>
        <v>24</v>
      </c>
      <c r="M40" s="325">
        <f t="shared" si="1"/>
        <v>192</v>
      </c>
      <c r="N40" s="112">
        <v>17</v>
      </c>
      <c r="O40" s="223">
        <f t="shared" si="2"/>
        <v>136</v>
      </c>
      <c r="P40" s="724"/>
      <c r="Q40" s="711">
        <f t="shared" si="3"/>
        <v>0</v>
      </c>
      <c r="R40" s="109">
        <f t="shared" si="4"/>
        <v>192</v>
      </c>
      <c r="S40" s="109">
        <f t="shared" si="5"/>
        <v>0</v>
      </c>
      <c r="T40" s="116">
        <f t="shared" si="6"/>
        <v>192</v>
      </c>
      <c r="U40" s="116">
        <v>707</v>
      </c>
      <c r="V40" s="116">
        <f t="shared" si="16"/>
        <v>742.35</v>
      </c>
      <c r="W40" s="106"/>
    </row>
    <row r="41" spans="1:28" ht="19.05" customHeight="1" x14ac:dyDescent="0.65">
      <c r="B41" s="707" t="s">
        <v>160</v>
      </c>
      <c r="C41" s="257" t="s">
        <v>416</v>
      </c>
      <c r="D41" s="548">
        <v>8</v>
      </c>
      <c r="E41" s="550">
        <v>3.79</v>
      </c>
      <c r="F41" s="548">
        <v>4.17</v>
      </c>
      <c r="G41" s="550"/>
      <c r="H41" s="548">
        <v>4.17</v>
      </c>
      <c r="I41" s="319">
        <v>72</v>
      </c>
      <c r="J41" s="113"/>
      <c r="K41" s="322">
        <v>36</v>
      </c>
      <c r="L41" s="324">
        <f t="shared" si="0"/>
        <v>36</v>
      </c>
      <c r="M41" s="325">
        <f t="shared" si="1"/>
        <v>150.12</v>
      </c>
      <c r="N41" s="112"/>
      <c r="O41" s="223">
        <f t="shared" si="2"/>
        <v>0</v>
      </c>
      <c r="P41" s="724"/>
      <c r="Q41" s="711">
        <f t="shared" si="3"/>
        <v>0</v>
      </c>
      <c r="R41" s="109">
        <f t="shared" si="4"/>
        <v>300.24</v>
      </c>
      <c r="S41" s="109">
        <f t="shared" si="5"/>
        <v>150.12</v>
      </c>
      <c r="T41" s="116">
        <f t="shared" si="6"/>
        <v>150.12</v>
      </c>
      <c r="U41" s="116">
        <v>571</v>
      </c>
      <c r="V41" s="116">
        <f t="shared" si="16"/>
        <v>599.54999999999995</v>
      </c>
      <c r="W41" s="106"/>
    </row>
    <row r="42" spans="1:28" ht="19.05" customHeight="1" x14ac:dyDescent="0.65">
      <c r="B42" s="707" t="s">
        <v>160</v>
      </c>
      <c r="C42" s="257" t="s">
        <v>162</v>
      </c>
      <c r="D42" s="548">
        <v>72</v>
      </c>
      <c r="E42" s="550">
        <v>3.79</v>
      </c>
      <c r="F42" s="548">
        <v>4</v>
      </c>
      <c r="G42" s="550"/>
      <c r="H42" s="548">
        <v>4</v>
      </c>
      <c r="I42" s="320">
        <v>72</v>
      </c>
      <c r="J42" s="113"/>
      <c r="K42" s="322"/>
      <c r="L42" s="324">
        <f t="shared" si="0"/>
        <v>72</v>
      </c>
      <c r="M42" s="325">
        <f t="shared" si="1"/>
        <v>288</v>
      </c>
      <c r="N42" s="112">
        <v>3</v>
      </c>
      <c r="O42" s="223">
        <f t="shared" si="2"/>
        <v>12</v>
      </c>
      <c r="P42" s="724"/>
      <c r="Q42" s="711">
        <f t="shared" si="3"/>
        <v>0</v>
      </c>
      <c r="R42" s="109">
        <f t="shared" si="4"/>
        <v>288</v>
      </c>
      <c r="S42" s="109">
        <f t="shared" si="5"/>
        <v>0</v>
      </c>
      <c r="T42" s="116">
        <f t="shared" si="6"/>
        <v>288</v>
      </c>
      <c r="U42" s="116">
        <v>273</v>
      </c>
      <c r="V42" s="116">
        <f t="shared" si="16"/>
        <v>286.64999999999998</v>
      </c>
      <c r="W42" s="106"/>
    </row>
    <row r="43" spans="1:28" ht="19.05" customHeight="1" x14ac:dyDescent="0.65">
      <c r="B43" s="707" t="s">
        <v>160</v>
      </c>
      <c r="C43" s="257" t="s">
        <v>417</v>
      </c>
      <c r="D43" s="548">
        <v>6</v>
      </c>
      <c r="E43" s="550">
        <v>7.62</v>
      </c>
      <c r="F43" s="548">
        <v>8</v>
      </c>
      <c r="G43" s="550"/>
      <c r="H43" s="548">
        <v>8</v>
      </c>
      <c r="I43" s="319"/>
      <c r="J43" s="113"/>
      <c r="K43" s="322"/>
      <c r="L43" s="324">
        <f t="shared" si="0"/>
        <v>0</v>
      </c>
      <c r="M43" s="325">
        <f t="shared" si="1"/>
        <v>0</v>
      </c>
      <c r="N43" s="112"/>
      <c r="O43" s="223">
        <f t="shared" si="2"/>
        <v>0</v>
      </c>
      <c r="P43" s="724"/>
      <c r="Q43" s="711">
        <f t="shared" si="3"/>
        <v>0</v>
      </c>
      <c r="R43" s="109">
        <f t="shared" si="4"/>
        <v>0</v>
      </c>
      <c r="S43" s="109">
        <f t="shared" si="5"/>
        <v>0</v>
      </c>
      <c r="T43" s="116">
        <f t="shared" si="6"/>
        <v>0</v>
      </c>
      <c r="U43" s="116"/>
      <c r="V43" s="116">
        <f t="shared" si="16"/>
        <v>0</v>
      </c>
      <c r="W43" s="106"/>
    </row>
    <row r="44" spans="1:28" ht="19.05" customHeight="1" x14ac:dyDescent="0.65">
      <c r="B44" s="707" t="s">
        <v>165</v>
      </c>
      <c r="C44" s="111" t="s">
        <v>166</v>
      </c>
      <c r="D44" s="548">
        <v>12</v>
      </c>
      <c r="E44" s="550">
        <v>28</v>
      </c>
      <c r="F44" s="549">
        <v>29.4</v>
      </c>
      <c r="G44" s="709"/>
      <c r="H44" s="548">
        <v>29.4</v>
      </c>
      <c r="I44" s="319">
        <v>24</v>
      </c>
      <c r="J44" s="113"/>
      <c r="K44" s="322"/>
      <c r="L44" s="324">
        <f t="shared" si="0"/>
        <v>24</v>
      </c>
      <c r="M44" s="325">
        <f t="shared" si="1"/>
        <v>705.59999999999991</v>
      </c>
      <c r="N44" s="112"/>
      <c r="O44" s="223">
        <f t="shared" si="2"/>
        <v>0</v>
      </c>
      <c r="P44" s="724"/>
      <c r="Q44" s="711">
        <f t="shared" si="3"/>
        <v>0</v>
      </c>
      <c r="R44" s="109">
        <f t="shared" si="4"/>
        <v>705.59999999999991</v>
      </c>
      <c r="S44" s="109">
        <f t="shared" si="5"/>
        <v>0</v>
      </c>
      <c r="T44" s="116">
        <f t="shared" si="6"/>
        <v>705.59999999999991</v>
      </c>
      <c r="U44" s="116">
        <v>336</v>
      </c>
      <c r="V44" s="116">
        <f t="shared" si="16"/>
        <v>352.8</v>
      </c>
      <c r="W44" s="106"/>
    </row>
    <row r="45" spans="1:28" ht="19.05" customHeight="1" x14ac:dyDescent="0.65">
      <c r="B45" s="707"/>
      <c r="C45" s="374" t="s">
        <v>336</v>
      </c>
      <c r="D45" s="548">
        <v>12</v>
      </c>
      <c r="E45" s="550">
        <v>40.909999999999997</v>
      </c>
      <c r="F45" s="549">
        <v>43</v>
      </c>
      <c r="G45" s="709"/>
      <c r="H45" s="548">
        <v>43</v>
      </c>
      <c r="I45" s="319"/>
      <c r="J45" s="113"/>
      <c r="K45" s="322"/>
      <c r="L45" s="324">
        <f t="shared" si="0"/>
        <v>0</v>
      </c>
      <c r="M45" s="325">
        <f t="shared" ref="M45" si="19">L45*H45</f>
        <v>0</v>
      </c>
      <c r="N45" s="112"/>
      <c r="O45" s="223">
        <f t="shared" si="2"/>
        <v>0</v>
      </c>
      <c r="P45" s="724">
        <v>1</v>
      </c>
      <c r="Q45" s="711">
        <f t="shared" si="3"/>
        <v>43</v>
      </c>
      <c r="R45" s="109">
        <f t="shared" si="4"/>
        <v>0</v>
      </c>
      <c r="S45" s="109">
        <f t="shared" si="5"/>
        <v>0</v>
      </c>
      <c r="T45" s="116">
        <f t="shared" si="6"/>
        <v>0</v>
      </c>
      <c r="U45" s="116">
        <v>491</v>
      </c>
      <c r="V45" s="116">
        <f t="shared" si="16"/>
        <v>515.54999999999995</v>
      </c>
      <c r="W45" s="106"/>
    </row>
    <row r="46" spans="1:28" ht="19.05" customHeight="1" x14ac:dyDescent="0.65">
      <c r="B46" s="707" t="s">
        <v>165</v>
      </c>
      <c r="C46" s="111" t="s">
        <v>167</v>
      </c>
      <c r="D46" s="548">
        <v>12</v>
      </c>
      <c r="E46" s="550">
        <v>40.92</v>
      </c>
      <c r="F46" s="548">
        <v>43</v>
      </c>
      <c r="G46" s="550"/>
      <c r="H46" s="548">
        <v>43</v>
      </c>
      <c r="I46" s="319">
        <v>12</v>
      </c>
      <c r="J46" s="113"/>
      <c r="K46" s="322">
        <v>6</v>
      </c>
      <c r="L46" s="324">
        <f t="shared" si="0"/>
        <v>6</v>
      </c>
      <c r="M46" s="325">
        <f t="shared" si="1"/>
        <v>258</v>
      </c>
      <c r="N46" s="112"/>
      <c r="O46" s="223">
        <f t="shared" si="2"/>
        <v>0</v>
      </c>
      <c r="P46" s="724"/>
      <c r="Q46" s="711">
        <f t="shared" si="3"/>
        <v>0</v>
      </c>
      <c r="R46" s="109">
        <f t="shared" si="4"/>
        <v>516</v>
      </c>
      <c r="S46" s="109">
        <f t="shared" si="5"/>
        <v>258</v>
      </c>
      <c r="T46" s="116">
        <f t="shared" si="6"/>
        <v>258</v>
      </c>
      <c r="U46" s="116">
        <v>491</v>
      </c>
      <c r="V46" s="116">
        <f t="shared" si="16"/>
        <v>515.54999999999995</v>
      </c>
      <c r="W46" s="106"/>
    </row>
    <row r="47" spans="1:28" ht="19.05" customHeight="1" x14ac:dyDescent="0.65">
      <c r="B47" s="707" t="s">
        <v>139</v>
      </c>
      <c r="C47" s="111" t="s">
        <v>168</v>
      </c>
      <c r="D47" s="548">
        <v>72</v>
      </c>
      <c r="E47" s="553">
        <v>7.61</v>
      </c>
      <c r="F47" s="769">
        <v>8</v>
      </c>
      <c r="G47" s="550"/>
      <c r="H47" s="548">
        <v>8</v>
      </c>
      <c r="I47" s="319">
        <v>288</v>
      </c>
      <c r="J47" s="113"/>
      <c r="K47" s="322">
        <v>108</v>
      </c>
      <c r="L47" s="324">
        <f t="shared" si="0"/>
        <v>180</v>
      </c>
      <c r="M47" s="325">
        <f t="shared" si="1"/>
        <v>1440</v>
      </c>
      <c r="N47" s="112">
        <v>14</v>
      </c>
      <c r="O47" s="223">
        <f t="shared" si="2"/>
        <v>112</v>
      </c>
      <c r="P47" s="724"/>
      <c r="Q47" s="711">
        <f t="shared" si="3"/>
        <v>0</v>
      </c>
      <c r="R47" s="109">
        <f t="shared" si="4"/>
        <v>2304</v>
      </c>
      <c r="S47" s="109">
        <f t="shared" si="5"/>
        <v>864</v>
      </c>
      <c r="T47" s="116">
        <f t="shared" si="6"/>
        <v>1440</v>
      </c>
      <c r="U47" s="116">
        <v>548</v>
      </c>
      <c r="V47" s="116">
        <f t="shared" si="16"/>
        <v>575.4</v>
      </c>
      <c r="W47" s="106"/>
    </row>
    <row r="48" spans="1:28" ht="19.05" customHeight="1" x14ac:dyDescent="0.65">
      <c r="B48" s="707" t="s">
        <v>165</v>
      </c>
      <c r="C48" s="111" t="s">
        <v>169</v>
      </c>
      <c r="D48" s="548">
        <v>24</v>
      </c>
      <c r="E48" s="553">
        <v>12.4</v>
      </c>
      <c r="F48" s="548">
        <v>13</v>
      </c>
      <c r="G48" s="708"/>
      <c r="H48" s="548">
        <v>13</v>
      </c>
      <c r="I48" s="319"/>
      <c r="J48" s="113"/>
      <c r="K48" s="322"/>
      <c r="L48" s="324">
        <f t="shared" si="0"/>
        <v>0</v>
      </c>
      <c r="M48" s="325">
        <f t="shared" si="1"/>
        <v>0</v>
      </c>
      <c r="N48" s="112"/>
      <c r="O48" s="223">
        <f t="shared" si="2"/>
        <v>0</v>
      </c>
      <c r="P48" s="724"/>
      <c r="Q48" s="711">
        <f t="shared" si="3"/>
        <v>0</v>
      </c>
      <c r="R48" s="109">
        <f t="shared" si="4"/>
        <v>0</v>
      </c>
      <c r="S48" s="109">
        <f t="shared" si="5"/>
        <v>0</v>
      </c>
      <c r="T48" s="116">
        <f t="shared" si="6"/>
        <v>0</v>
      </c>
      <c r="U48" s="116">
        <v>297.12</v>
      </c>
      <c r="V48" s="116">
        <f t="shared" si="16"/>
        <v>311.976</v>
      </c>
      <c r="W48" s="106"/>
    </row>
    <row r="49" spans="2:23" ht="19.05" customHeight="1" x14ac:dyDescent="0.65">
      <c r="B49" s="707" t="s">
        <v>165</v>
      </c>
      <c r="C49" s="111" t="s">
        <v>170</v>
      </c>
      <c r="D49" s="548">
        <v>72</v>
      </c>
      <c r="E49" s="550">
        <v>3.81</v>
      </c>
      <c r="F49" s="548">
        <v>4</v>
      </c>
      <c r="G49" s="708"/>
      <c r="H49" s="548">
        <v>4</v>
      </c>
      <c r="I49" s="319"/>
      <c r="J49" s="113"/>
      <c r="K49" s="322"/>
      <c r="L49" s="324">
        <f t="shared" si="0"/>
        <v>0</v>
      </c>
      <c r="M49" s="325">
        <f t="shared" si="1"/>
        <v>0</v>
      </c>
      <c r="N49" s="112"/>
      <c r="O49" s="223">
        <f t="shared" si="2"/>
        <v>0</v>
      </c>
      <c r="P49" s="724"/>
      <c r="Q49" s="711">
        <f t="shared" si="3"/>
        <v>0</v>
      </c>
      <c r="R49" s="109">
        <f t="shared" si="4"/>
        <v>0</v>
      </c>
      <c r="S49" s="109">
        <f t="shared" si="5"/>
        <v>0</v>
      </c>
      <c r="T49" s="116">
        <f t="shared" si="6"/>
        <v>0</v>
      </c>
      <c r="U49" s="116">
        <v>274</v>
      </c>
      <c r="V49" s="116">
        <f t="shared" si="16"/>
        <v>287.7</v>
      </c>
      <c r="W49" s="106"/>
    </row>
    <row r="50" spans="2:23" ht="19.05" customHeight="1" x14ac:dyDescent="0.65">
      <c r="B50" s="707" t="s">
        <v>165</v>
      </c>
      <c r="C50" s="111" t="s">
        <v>171</v>
      </c>
      <c r="D50" s="548">
        <v>12</v>
      </c>
      <c r="E50" s="550">
        <v>90.42</v>
      </c>
      <c r="F50" s="548">
        <v>95</v>
      </c>
      <c r="G50" s="550"/>
      <c r="H50" s="548">
        <v>95</v>
      </c>
      <c r="I50" s="319"/>
      <c r="J50" s="113"/>
      <c r="K50" s="322"/>
      <c r="L50" s="324">
        <f t="shared" si="0"/>
        <v>0</v>
      </c>
      <c r="M50" s="325">
        <f t="shared" si="1"/>
        <v>0</v>
      </c>
      <c r="N50" s="112"/>
      <c r="O50" s="223">
        <f t="shared" si="2"/>
        <v>0</v>
      </c>
      <c r="P50" s="724"/>
      <c r="Q50" s="711">
        <f t="shared" si="3"/>
        <v>0</v>
      </c>
      <c r="R50" s="109">
        <f t="shared" si="4"/>
        <v>0</v>
      </c>
      <c r="S50" s="109">
        <f t="shared" si="5"/>
        <v>0</v>
      </c>
      <c r="T50" s="116">
        <f t="shared" si="6"/>
        <v>0</v>
      </c>
      <c r="U50" s="116">
        <v>1085</v>
      </c>
      <c r="V50" s="116">
        <f t="shared" si="16"/>
        <v>1139.25</v>
      </c>
      <c r="W50" s="106"/>
    </row>
    <row r="51" spans="2:23" ht="19.05" customHeight="1" x14ac:dyDescent="0.65">
      <c r="B51" s="707"/>
      <c r="C51" s="111" t="s">
        <v>526</v>
      </c>
      <c r="D51" s="548">
        <v>24</v>
      </c>
      <c r="E51" s="550">
        <v>24.5</v>
      </c>
      <c r="F51" s="548">
        <v>26</v>
      </c>
      <c r="G51" s="550"/>
      <c r="H51" s="548">
        <v>26</v>
      </c>
      <c r="I51" s="319"/>
      <c r="J51" s="113"/>
      <c r="K51" s="322"/>
      <c r="L51" s="324">
        <f t="shared" si="0"/>
        <v>0</v>
      </c>
      <c r="M51" s="325">
        <f t="shared" si="1"/>
        <v>0</v>
      </c>
      <c r="N51" s="112"/>
      <c r="O51" s="223">
        <f t="shared" si="2"/>
        <v>0</v>
      </c>
      <c r="P51" s="724"/>
      <c r="Q51" s="711">
        <f t="shared" si="3"/>
        <v>0</v>
      </c>
      <c r="R51" s="109">
        <f t="shared" si="4"/>
        <v>0</v>
      </c>
      <c r="S51" s="109">
        <f t="shared" si="5"/>
        <v>0</v>
      </c>
      <c r="T51" s="116">
        <f t="shared" si="6"/>
        <v>0</v>
      </c>
      <c r="U51" s="116">
        <v>588</v>
      </c>
      <c r="V51" s="116">
        <f t="shared" si="16"/>
        <v>617.4</v>
      </c>
      <c r="W51" s="106"/>
    </row>
    <row r="52" spans="2:23" ht="19.05" customHeight="1" x14ac:dyDescent="0.65">
      <c r="B52" s="707" t="s">
        <v>165</v>
      </c>
      <c r="C52" s="111" t="s">
        <v>172</v>
      </c>
      <c r="D52" s="548">
        <v>12</v>
      </c>
      <c r="E52" s="550">
        <v>55.17</v>
      </c>
      <c r="F52" s="548">
        <v>58</v>
      </c>
      <c r="G52" s="550"/>
      <c r="H52" s="548">
        <v>58</v>
      </c>
      <c r="I52" s="319">
        <v>24</v>
      </c>
      <c r="J52" s="113"/>
      <c r="K52" s="322">
        <v>12</v>
      </c>
      <c r="L52" s="324">
        <f t="shared" si="0"/>
        <v>12</v>
      </c>
      <c r="M52" s="325">
        <f t="shared" si="1"/>
        <v>696</v>
      </c>
      <c r="N52" s="112"/>
      <c r="O52" s="223">
        <f t="shared" si="2"/>
        <v>0</v>
      </c>
      <c r="P52" s="724"/>
      <c r="Q52" s="711">
        <f t="shared" si="3"/>
        <v>0</v>
      </c>
      <c r="R52" s="109">
        <f t="shared" si="4"/>
        <v>1392</v>
      </c>
      <c r="S52" s="109">
        <f t="shared" si="5"/>
        <v>696</v>
      </c>
      <c r="T52" s="116">
        <f t="shared" si="6"/>
        <v>696</v>
      </c>
      <c r="U52" s="116">
        <v>662</v>
      </c>
      <c r="V52" s="116">
        <f t="shared" si="16"/>
        <v>695.1</v>
      </c>
      <c r="W52" s="106"/>
    </row>
    <row r="53" spans="2:23" ht="19.05" customHeight="1" x14ac:dyDescent="0.65">
      <c r="B53" s="707" t="s">
        <v>165</v>
      </c>
      <c r="C53" s="617" t="s">
        <v>461</v>
      </c>
      <c r="D53" s="548">
        <v>12</v>
      </c>
      <c r="E53" s="550">
        <v>40</v>
      </c>
      <c r="F53" s="548">
        <v>42</v>
      </c>
      <c r="G53" s="550"/>
      <c r="H53" s="548">
        <v>42</v>
      </c>
      <c r="I53" s="319"/>
      <c r="J53" s="113"/>
      <c r="K53" s="322"/>
      <c r="L53" s="324">
        <f t="shared" si="0"/>
        <v>0</v>
      </c>
      <c r="M53" s="325">
        <f t="shared" si="1"/>
        <v>0</v>
      </c>
      <c r="N53" s="112"/>
      <c r="O53" s="223">
        <f t="shared" si="2"/>
        <v>0</v>
      </c>
      <c r="P53" s="724"/>
      <c r="Q53" s="711">
        <f t="shared" si="3"/>
        <v>0</v>
      </c>
      <c r="R53" s="109">
        <f t="shared" si="4"/>
        <v>0</v>
      </c>
      <c r="S53" s="109">
        <f t="shared" si="5"/>
        <v>0</v>
      </c>
      <c r="T53" s="116">
        <f t="shared" si="6"/>
        <v>0</v>
      </c>
      <c r="U53" s="598">
        <v>480</v>
      </c>
      <c r="V53" s="116">
        <f t="shared" si="16"/>
        <v>504</v>
      </c>
      <c r="W53" s="106"/>
    </row>
    <row r="54" spans="2:23" ht="19.05" customHeight="1" x14ac:dyDescent="0.65">
      <c r="B54" s="707" t="s">
        <v>165</v>
      </c>
      <c r="C54" s="111" t="s">
        <v>174</v>
      </c>
      <c r="D54" s="548">
        <v>12</v>
      </c>
      <c r="E54" s="550">
        <v>55.17</v>
      </c>
      <c r="F54" s="548">
        <v>58</v>
      </c>
      <c r="G54" s="550"/>
      <c r="H54" s="548">
        <v>58</v>
      </c>
      <c r="I54" s="319">
        <v>12</v>
      </c>
      <c r="J54" s="113">
        <v>12</v>
      </c>
      <c r="K54" s="322"/>
      <c r="L54" s="324">
        <f t="shared" si="0"/>
        <v>12</v>
      </c>
      <c r="M54" s="325">
        <f t="shared" si="1"/>
        <v>696</v>
      </c>
      <c r="N54" s="802"/>
      <c r="O54" s="223">
        <f t="shared" si="2"/>
        <v>0</v>
      </c>
      <c r="P54" s="724">
        <v>1</v>
      </c>
      <c r="Q54" s="711">
        <f t="shared" si="3"/>
        <v>58</v>
      </c>
      <c r="R54" s="109">
        <f t="shared" si="4"/>
        <v>696</v>
      </c>
      <c r="S54" s="109">
        <f t="shared" si="5"/>
        <v>0</v>
      </c>
      <c r="T54" s="116">
        <f t="shared" si="6"/>
        <v>696</v>
      </c>
      <c r="U54" s="116">
        <v>662</v>
      </c>
      <c r="V54" s="116">
        <f t="shared" si="16"/>
        <v>695.1</v>
      </c>
      <c r="W54" s="106"/>
    </row>
    <row r="55" spans="2:23" ht="19.05" customHeight="1" x14ac:dyDescent="0.65">
      <c r="B55" s="707"/>
      <c r="C55" s="798" t="s">
        <v>173</v>
      </c>
      <c r="D55" s="548">
        <v>24</v>
      </c>
      <c r="E55" s="550">
        <v>16.16</v>
      </c>
      <c r="F55" s="548">
        <v>17</v>
      </c>
      <c r="G55" s="550"/>
      <c r="H55" s="548">
        <v>17</v>
      </c>
      <c r="I55" s="319">
        <v>24</v>
      </c>
      <c r="J55" s="113">
        <v>12</v>
      </c>
      <c r="K55" s="322"/>
      <c r="L55" s="324">
        <f t="shared" ref="L55" si="20">I55-K55</f>
        <v>24</v>
      </c>
      <c r="M55" s="325">
        <f t="shared" ref="M55" si="21">L55*H55</f>
        <v>408</v>
      </c>
      <c r="N55" s="112"/>
      <c r="O55" s="223">
        <f t="shared" ref="O55" si="22">N55*F55</f>
        <v>0</v>
      </c>
      <c r="P55" s="724"/>
      <c r="Q55" s="711">
        <f t="shared" ref="Q55" si="23">P55*H55</f>
        <v>0</v>
      </c>
      <c r="R55" s="109">
        <f t="shared" si="4"/>
        <v>408</v>
      </c>
      <c r="S55" s="109">
        <f t="shared" si="5"/>
        <v>0</v>
      </c>
      <c r="T55" s="116">
        <f t="shared" si="6"/>
        <v>408</v>
      </c>
      <c r="U55" s="116">
        <v>388</v>
      </c>
      <c r="V55" s="116">
        <f t="shared" ref="V55" si="24">U55*5/100+U55</f>
        <v>407.4</v>
      </c>
      <c r="W55" s="106"/>
    </row>
    <row r="56" spans="2:23" ht="19.05" customHeight="1" x14ac:dyDescent="0.65">
      <c r="B56" s="707"/>
      <c r="C56" s="613" t="s">
        <v>507</v>
      </c>
      <c r="D56" s="548">
        <v>12</v>
      </c>
      <c r="E56" s="550">
        <v>104</v>
      </c>
      <c r="F56" s="548">
        <v>110</v>
      </c>
      <c r="G56" s="550"/>
      <c r="H56" s="548">
        <v>110</v>
      </c>
      <c r="I56" s="319"/>
      <c r="J56" s="113"/>
      <c r="K56" s="322"/>
      <c r="L56" s="324">
        <f t="shared" si="0"/>
        <v>0</v>
      </c>
      <c r="M56" s="325">
        <f t="shared" si="1"/>
        <v>0</v>
      </c>
      <c r="N56" s="112">
        <v>9</v>
      </c>
      <c r="O56" s="223">
        <f t="shared" si="2"/>
        <v>990</v>
      </c>
      <c r="P56" s="724"/>
      <c r="Q56" s="711">
        <f t="shared" ref="Q56:Q58" si="25">P56*H56</f>
        <v>0</v>
      </c>
      <c r="R56" s="109">
        <f t="shared" si="4"/>
        <v>0</v>
      </c>
      <c r="S56" s="109">
        <f t="shared" si="5"/>
        <v>0</v>
      </c>
      <c r="T56" s="116">
        <f t="shared" si="6"/>
        <v>0</v>
      </c>
      <c r="U56" s="116">
        <v>1251</v>
      </c>
      <c r="V56" s="116">
        <f t="shared" ref="V56:V57" si="26">U56*5/100+U56</f>
        <v>1313.55</v>
      </c>
      <c r="W56" s="106"/>
    </row>
    <row r="57" spans="2:23" ht="19.05" customHeight="1" x14ac:dyDescent="0.65">
      <c r="B57" s="707"/>
      <c r="C57" s="728" t="s">
        <v>510</v>
      </c>
      <c r="D57" s="548">
        <v>12</v>
      </c>
      <c r="E57" s="550">
        <v>114</v>
      </c>
      <c r="F57" s="548">
        <v>110</v>
      </c>
      <c r="G57" s="550"/>
      <c r="H57" s="548">
        <v>120</v>
      </c>
      <c r="I57" s="319"/>
      <c r="J57" s="113"/>
      <c r="K57" s="322"/>
      <c r="L57" s="324">
        <f t="shared" si="0"/>
        <v>0</v>
      </c>
      <c r="M57" s="325">
        <f t="shared" si="1"/>
        <v>0</v>
      </c>
      <c r="N57" s="112"/>
      <c r="O57" s="223">
        <f t="shared" si="2"/>
        <v>0</v>
      </c>
      <c r="P57" s="724"/>
      <c r="Q57" s="711">
        <f t="shared" si="25"/>
        <v>0</v>
      </c>
      <c r="R57" s="109">
        <f t="shared" si="4"/>
        <v>0</v>
      </c>
      <c r="S57" s="109">
        <f t="shared" si="5"/>
        <v>0</v>
      </c>
      <c r="T57" s="116">
        <f t="shared" si="6"/>
        <v>0</v>
      </c>
      <c r="U57" s="116">
        <v>1311</v>
      </c>
      <c r="V57" s="116">
        <f t="shared" si="26"/>
        <v>1376.55</v>
      </c>
      <c r="W57" s="106"/>
    </row>
    <row r="58" spans="2:23" ht="19.05" customHeight="1" x14ac:dyDescent="0.65">
      <c r="B58" s="707"/>
      <c r="C58" s="728" t="s">
        <v>511</v>
      </c>
      <c r="D58" s="548">
        <v>12</v>
      </c>
      <c r="E58" s="550">
        <v>109.28</v>
      </c>
      <c r="F58" s="548">
        <v>110</v>
      </c>
      <c r="G58" s="550"/>
      <c r="H58" s="548">
        <v>115</v>
      </c>
      <c r="I58" s="319"/>
      <c r="J58" s="113"/>
      <c r="K58" s="322"/>
      <c r="L58" s="324">
        <f t="shared" si="0"/>
        <v>0</v>
      </c>
      <c r="M58" s="325">
        <f t="shared" si="1"/>
        <v>0</v>
      </c>
      <c r="N58" s="112">
        <v>10</v>
      </c>
      <c r="O58" s="223">
        <f t="shared" si="2"/>
        <v>1100</v>
      </c>
      <c r="P58" s="724"/>
      <c r="Q58" s="711">
        <f t="shared" si="25"/>
        <v>0</v>
      </c>
      <c r="R58" s="109">
        <f t="shared" si="4"/>
        <v>0</v>
      </c>
      <c r="S58" s="109">
        <f t="shared" si="5"/>
        <v>0</v>
      </c>
      <c r="T58" s="116">
        <f t="shared" si="6"/>
        <v>0</v>
      </c>
      <c r="U58" s="116">
        <v>1311</v>
      </c>
      <c r="V58" s="116">
        <f t="shared" ref="V58" si="27">U58*5/100+U58</f>
        <v>1376.55</v>
      </c>
      <c r="W58" s="106"/>
    </row>
    <row r="59" spans="2:23" ht="19.05" customHeight="1" x14ac:dyDescent="0.65">
      <c r="B59" s="707"/>
      <c r="C59" s="728" t="s">
        <v>512</v>
      </c>
      <c r="D59" s="548">
        <v>12</v>
      </c>
      <c r="E59" s="550">
        <v>114</v>
      </c>
      <c r="F59" s="548">
        <v>110</v>
      </c>
      <c r="G59" s="550"/>
      <c r="H59" s="548">
        <v>115</v>
      </c>
      <c r="I59" s="319"/>
      <c r="J59" s="113"/>
      <c r="K59" s="322"/>
      <c r="L59" s="324">
        <f t="shared" si="0"/>
        <v>0</v>
      </c>
      <c r="M59" s="325">
        <f t="shared" si="1"/>
        <v>0</v>
      </c>
      <c r="N59" s="112">
        <v>3</v>
      </c>
      <c r="O59" s="223">
        <f t="shared" si="2"/>
        <v>330</v>
      </c>
      <c r="P59" s="724"/>
      <c r="Q59" s="711">
        <f t="shared" ref="Q59" si="28">P59*H59</f>
        <v>0</v>
      </c>
      <c r="R59" s="109">
        <f t="shared" si="4"/>
        <v>0</v>
      </c>
      <c r="S59" s="109">
        <f t="shared" si="5"/>
        <v>0</v>
      </c>
      <c r="T59" s="116">
        <f t="shared" si="6"/>
        <v>0</v>
      </c>
      <c r="U59" s="116">
        <v>1311</v>
      </c>
      <c r="V59" s="116">
        <f t="shared" ref="V59" si="29">U59*5/100+U59</f>
        <v>1376.55</v>
      </c>
      <c r="W59" s="106"/>
    </row>
    <row r="60" spans="2:23" ht="19.05" customHeight="1" x14ac:dyDescent="0.65">
      <c r="B60" s="707" t="s">
        <v>165</v>
      </c>
      <c r="C60" s="111" t="s">
        <v>175</v>
      </c>
      <c r="D60" s="548">
        <v>12</v>
      </c>
      <c r="E60" s="550">
        <v>87.58</v>
      </c>
      <c r="F60" s="548">
        <v>92</v>
      </c>
      <c r="G60" s="550"/>
      <c r="H60" s="548">
        <v>92</v>
      </c>
      <c r="I60" s="319"/>
      <c r="J60" s="113"/>
      <c r="K60" s="322"/>
      <c r="L60" s="324">
        <f t="shared" si="0"/>
        <v>0</v>
      </c>
      <c r="M60" s="325">
        <f t="shared" si="1"/>
        <v>0</v>
      </c>
      <c r="N60" s="112"/>
      <c r="O60" s="223">
        <f t="shared" si="2"/>
        <v>0</v>
      </c>
      <c r="P60" s="724"/>
      <c r="Q60" s="711">
        <f t="shared" si="3"/>
        <v>0</v>
      </c>
      <c r="R60" s="109">
        <f t="shared" si="4"/>
        <v>0</v>
      </c>
      <c r="S60" s="109">
        <f t="shared" si="5"/>
        <v>0</v>
      </c>
      <c r="T60" s="116">
        <f t="shared" si="6"/>
        <v>0</v>
      </c>
      <c r="U60" s="116"/>
      <c r="V60" s="116">
        <f t="shared" si="16"/>
        <v>0</v>
      </c>
      <c r="W60" s="106"/>
    </row>
    <row r="61" spans="2:23" ht="19.05" customHeight="1" x14ac:dyDescent="0.65">
      <c r="B61" s="707" t="s">
        <v>165</v>
      </c>
      <c r="C61" s="111" t="s">
        <v>176</v>
      </c>
      <c r="D61" s="548">
        <v>12</v>
      </c>
      <c r="E61" s="550">
        <v>87.58</v>
      </c>
      <c r="F61" s="548">
        <v>92</v>
      </c>
      <c r="G61" s="550"/>
      <c r="H61" s="548">
        <v>92</v>
      </c>
      <c r="I61" s="319"/>
      <c r="J61" s="113">
        <v>7</v>
      </c>
      <c r="K61" s="322"/>
      <c r="L61" s="324">
        <f t="shared" si="0"/>
        <v>0</v>
      </c>
      <c r="M61" s="325">
        <f t="shared" si="1"/>
        <v>0</v>
      </c>
      <c r="N61" s="112"/>
      <c r="O61" s="223">
        <f t="shared" si="2"/>
        <v>0</v>
      </c>
      <c r="P61" s="724"/>
      <c r="Q61" s="711">
        <f t="shared" si="3"/>
        <v>0</v>
      </c>
      <c r="R61" s="109">
        <f t="shared" si="4"/>
        <v>0</v>
      </c>
      <c r="S61" s="109">
        <f t="shared" si="5"/>
        <v>0</v>
      </c>
      <c r="T61" s="116">
        <f t="shared" si="6"/>
        <v>0</v>
      </c>
      <c r="U61" s="116"/>
      <c r="V61" s="116">
        <f t="shared" si="16"/>
        <v>0</v>
      </c>
      <c r="W61" s="106"/>
    </row>
    <row r="62" spans="2:23" ht="19.05" customHeight="1" x14ac:dyDescent="0.65">
      <c r="B62" s="707" t="s">
        <v>165</v>
      </c>
      <c r="C62" s="111" t="s">
        <v>177</v>
      </c>
      <c r="D62" s="548">
        <v>12</v>
      </c>
      <c r="E62" s="550">
        <v>109.25</v>
      </c>
      <c r="F62" s="548">
        <v>120</v>
      </c>
      <c r="G62" s="550"/>
      <c r="H62" s="548">
        <v>120</v>
      </c>
      <c r="I62" s="319"/>
      <c r="J62" s="113"/>
      <c r="K62" s="322"/>
      <c r="L62" s="324">
        <f t="shared" si="0"/>
        <v>0</v>
      </c>
      <c r="M62" s="325">
        <f t="shared" si="1"/>
        <v>0</v>
      </c>
      <c r="N62" s="112"/>
      <c r="O62" s="223">
        <f t="shared" si="2"/>
        <v>0</v>
      </c>
      <c r="P62" s="724"/>
      <c r="Q62" s="711">
        <f t="shared" si="3"/>
        <v>0</v>
      </c>
      <c r="R62" s="109">
        <f t="shared" si="4"/>
        <v>0</v>
      </c>
      <c r="S62" s="109">
        <f t="shared" si="5"/>
        <v>0</v>
      </c>
      <c r="T62" s="116">
        <f t="shared" si="6"/>
        <v>0</v>
      </c>
      <c r="U62" s="116">
        <v>1311.43</v>
      </c>
      <c r="V62" s="116">
        <f t="shared" si="16"/>
        <v>1377.0015000000001</v>
      </c>
      <c r="W62" s="106"/>
    </row>
    <row r="63" spans="2:23" ht="27" customHeight="1" x14ac:dyDescent="0.65">
      <c r="B63" s="707" t="s">
        <v>165</v>
      </c>
      <c r="C63" s="554" t="s">
        <v>407</v>
      </c>
      <c r="D63" s="548">
        <v>72</v>
      </c>
      <c r="E63" s="550">
        <v>7.6</v>
      </c>
      <c r="F63" s="548">
        <v>8</v>
      </c>
      <c r="G63" s="550"/>
      <c r="H63" s="548">
        <v>8</v>
      </c>
      <c r="I63" s="319"/>
      <c r="J63" s="113">
        <v>36</v>
      </c>
      <c r="K63" s="322"/>
      <c r="L63" s="324">
        <f t="shared" si="0"/>
        <v>0</v>
      </c>
      <c r="M63" s="325">
        <f t="shared" si="1"/>
        <v>0</v>
      </c>
      <c r="N63" s="764"/>
      <c r="O63" s="223">
        <f t="shared" si="2"/>
        <v>0</v>
      </c>
      <c r="P63" s="724"/>
      <c r="Q63" s="711">
        <f t="shared" si="3"/>
        <v>0</v>
      </c>
      <c r="R63" s="109">
        <f t="shared" si="4"/>
        <v>0</v>
      </c>
      <c r="S63" s="109">
        <f t="shared" si="5"/>
        <v>0</v>
      </c>
      <c r="T63" s="116">
        <f t="shared" si="6"/>
        <v>0</v>
      </c>
      <c r="U63" s="116">
        <v>547</v>
      </c>
      <c r="V63" s="116">
        <f t="shared" si="16"/>
        <v>574.35</v>
      </c>
      <c r="W63" s="106"/>
    </row>
    <row r="64" spans="2:23" ht="19.05" customHeight="1" x14ac:dyDescent="0.3">
      <c r="B64" s="707" t="s">
        <v>165</v>
      </c>
      <c r="C64" s="111" t="s">
        <v>180</v>
      </c>
      <c r="D64" s="548">
        <v>12</v>
      </c>
      <c r="E64" s="550">
        <v>59</v>
      </c>
      <c r="F64" s="548">
        <v>62</v>
      </c>
      <c r="G64" s="550"/>
      <c r="H64" s="548">
        <v>62</v>
      </c>
      <c r="I64" s="738"/>
      <c r="J64" s="113"/>
      <c r="K64" s="323"/>
      <c r="L64" s="324">
        <f t="shared" si="0"/>
        <v>0</v>
      </c>
      <c r="M64" s="325">
        <f t="shared" si="1"/>
        <v>0</v>
      </c>
      <c r="N64" s="112"/>
      <c r="O64" s="223">
        <f t="shared" si="2"/>
        <v>0</v>
      </c>
      <c r="P64" s="724"/>
      <c r="Q64" s="711">
        <f t="shared" si="3"/>
        <v>0</v>
      </c>
      <c r="R64" s="109">
        <f t="shared" si="4"/>
        <v>0</v>
      </c>
      <c r="S64" s="109">
        <f t="shared" si="5"/>
        <v>0</v>
      </c>
      <c r="T64" s="116">
        <f t="shared" si="6"/>
        <v>0</v>
      </c>
      <c r="U64" s="598"/>
      <c r="V64" s="116">
        <f t="shared" si="16"/>
        <v>0</v>
      </c>
      <c r="W64" s="106"/>
    </row>
    <row r="65" spans="2:25" ht="19.05" customHeight="1" x14ac:dyDescent="0.65">
      <c r="B65" s="707" t="s">
        <v>165</v>
      </c>
      <c r="C65" s="111" t="s">
        <v>181</v>
      </c>
      <c r="D65" s="548">
        <v>12</v>
      </c>
      <c r="E65" s="550">
        <v>117</v>
      </c>
      <c r="F65" s="548">
        <v>123</v>
      </c>
      <c r="G65" s="550"/>
      <c r="H65" s="548">
        <v>126</v>
      </c>
      <c r="I65" s="319"/>
      <c r="J65" s="113"/>
      <c r="K65" s="323"/>
      <c r="L65" s="324">
        <f t="shared" si="0"/>
        <v>0</v>
      </c>
      <c r="M65" s="325">
        <f t="shared" si="1"/>
        <v>0</v>
      </c>
      <c r="N65" s="112"/>
      <c r="O65" s="223">
        <f t="shared" si="2"/>
        <v>0</v>
      </c>
      <c r="P65" s="724"/>
      <c r="Q65" s="711">
        <f t="shared" si="3"/>
        <v>0</v>
      </c>
      <c r="R65" s="109">
        <f t="shared" si="4"/>
        <v>0</v>
      </c>
      <c r="S65" s="109">
        <f t="shared" si="5"/>
        <v>0</v>
      </c>
      <c r="T65" s="116">
        <f t="shared" si="6"/>
        <v>0</v>
      </c>
      <c r="U65" s="116">
        <v>1404</v>
      </c>
      <c r="V65" s="116">
        <f t="shared" si="16"/>
        <v>1474.2</v>
      </c>
      <c r="W65" s="106"/>
    </row>
    <row r="66" spans="2:25" ht="19.05" customHeight="1" x14ac:dyDescent="0.3">
      <c r="B66" s="707" t="s">
        <v>165</v>
      </c>
      <c r="C66" s="111" t="s">
        <v>182</v>
      </c>
      <c r="D66" s="548">
        <v>6</v>
      </c>
      <c r="E66" s="550">
        <v>45.5</v>
      </c>
      <c r="F66" s="548">
        <v>50</v>
      </c>
      <c r="G66" s="550"/>
      <c r="H66" s="548">
        <v>50</v>
      </c>
      <c r="I66" s="752">
        <v>6</v>
      </c>
      <c r="J66" s="113"/>
      <c r="K66" s="323"/>
      <c r="L66" s="324">
        <f t="shared" si="0"/>
        <v>6</v>
      </c>
      <c r="M66" s="325">
        <f t="shared" si="1"/>
        <v>300</v>
      </c>
      <c r="N66" s="573"/>
      <c r="O66" s="223">
        <f t="shared" si="2"/>
        <v>0</v>
      </c>
      <c r="P66" s="724"/>
      <c r="Q66" s="711">
        <f t="shared" si="3"/>
        <v>0</v>
      </c>
      <c r="R66" s="109">
        <f t="shared" si="4"/>
        <v>300</v>
      </c>
      <c r="S66" s="109">
        <f t="shared" si="5"/>
        <v>0</v>
      </c>
      <c r="T66" s="116">
        <f t="shared" si="6"/>
        <v>300</v>
      </c>
      <c r="U66" s="116">
        <v>285</v>
      </c>
      <c r="V66" s="116">
        <f t="shared" si="16"/>
        <v>299.25</v>
      </c>
      <c r="W66" s="106"/>
      <c r="Y66" s="466"/>
    </row>
    <row r="67" spans="2:25" ht="19.05" customHeight="1" x14ac:dyDescent="0.3">
      <c r="B67" s="707" t="s">
        <v>183</v>
      </c>
      <c r="C67" s="613" t="s">
        <v>508</v>
      </c>
      <c r="D67" s="548">
        <v>6</v>
      </c>
      <c r="E67" s="550">
        <v>78</v>
      </c>
      <c r="F67" s="548">
        <v>82</v>
      </c>
      <c r="G67" s="550"/>
      <c r="H67" s="548">
        <v>82</v>
      </c>
      <c r="I67" s="752"/>
      <c r="J67" s="113"/>
      <c r="K67" s="323"/>
      <c r="L67" s="324">
        <f t="shared" si="0"/>
        <v>0</v>
      </c>
      <c r="M67" s="325">
        <f t="shared" ref="M67" si="30">L67*H67</f>
        <v>0</v>
      </c>
      <c r="N67" s="573"/>
      <c r="O67" s="223">
        <f t="shared" si="2"/>
        <v>0</v>
      </c>
      <c r="P67" s="724"/>
      <c r="Q67" s="711">
        <f t="shared" ref="Q67" si="31">P67*H67</f>
        <v>0</v>
      </c>
      <c r="R67" s="109">
        <f t="shared" si="4"/>
        <v>0</v>
      </c>
      <c r="S67" s="109">
        <f t="shared" si="5"/>
        <v>0</v>
      </c>
      <c r="T67" s="116">
        <f t="shared" si="6"/>
        <v>0</v>
      </c>
      <c r="U67" s="116">
        <v>468</v>
      </c>
      <c r="V67" s="116">
        <f t="shared" ref="V67" si="32">U67*5/100+U67</f>
        <v>491.4</v>
      </c>
      <c r="W67" s="106"/>
    </row>
    <row r="68" spans="2:25" ht="19.05" customHeight="1" x14ac:dyDescent="0.3">
      <c r="B68" s="707" t="s">
        <v>183</v>
      </c>
      <c r="C68" s="807" t="s">
        <v>533</v>
      </c>
      <c r="D68" s="548">
        <v>12</v>
      </c>
      <c r="E68" s="550" t="s">
        <v>473</v>
      </c>
      <c r="F68" s="548">
        <v>16.5</v>
      </c>
      <c r="G68" s="550"/>
      <c r="H68" s="548">
        <v>17</v>
      </c>
      <c r="I68" s="752"/>
      <c r="J68" s="113"/>
      <c r="K68" s="323"/>
      <c r="L68" s="324">
        <f t="shared" ref="L68" si="33">I68-K68</f>
        <v>0</v>
      </c>
      <c r="M68" s="325">
        <f t="shared" ref="M68" si="34">L68*H68</f>
        <v>0</v>
      </c>
      <c r="N68" s="573"/>
      <c r="O68" s="223">
        <f t="shared" ref="O68" si="35">N68*F68</f>
        <v>0</v>
      </c>
      <c r="P68" s="724"/>
      <c r="Q68" s="711">
        <f t="shared" ref="Q68" si="36">P68*H68</f>
        <v>0</v>
      </c>
      <c r="R68" s="109">
        <f t="shared" ref="R68" si="37">I68*H68</f>
        <v>0</v>
      </c>
      <c r="S68" s="109">
        <f t="shared" ref="S68" si="38">K68*H68</f>
        <v>0</v>
      </c>
      <c r="T68" s="116">
        <f t="shared" ref="T68" si="39">L68*H68</f>
        <v>0</v>
      </c>
      <c r="U68" s="116">
        <v>194</v>
      </c>
      <c r="V68" s="116">
        <f t="shared" ref="V68" si="40">U68*5/100+U68</f>
        <v>203.7</v>
      </c>
      <c r="W68" s="106"/>
    </row>
    <row r="69" spans="2:25" ht="19.05" customHeight="1" x14ac:dyDescent="0.65">
      <c r="B69" s="707" t="s">
        <v>183</v>
      </c>
      <c r="C69" s="111" t="s">
        <v>501</v>
      </c>
      <c r="D69" s="548">
        <v>48</v>
      </c>
      <c r="E69" s="550">
        <v>56.92</v>
      </c>
      <c r="F69" s="551">
        <v>60</v>
      </c>
      <c r="G69" s="550"/>
      <c r="H69" s="548">
        <v>60</v>
      </c>
      <c r="I69" s="319"/>
      <c r="J69" s="113"/>
      <c r="K69" s="323"/>
      <c r="L69" s="324">
        <f t="shared" ref="L69:L83" si="41">I69-K69</f>
        <v>0</v>
      </c>
      <c r="M69" s="325">
        <f t="shared" si="1"/>
        <v>0</v>
      </c>
      <c r="N69" s="228"/>
      <c r="O69" s="223">
        <f t="shared" ref="O69:O84" si="42">N69*F69</f>
        <v>0</v>
      </c>
      <c r="P69" s="724"/>
      <c r="Q69" s="711">
        <f t="shared" si="3"/>
        <v>0</v>
      </c>
      <c r="R69" s="109">
        <f t="shared" ref="R69:R84" si="43">I69*H69</f>
        <v>0</v>
      </c>
      <c r="S69" s="109">
        <f t="shared" ref="S69:S84" si="44">K69*H69</f>
        <v>0</v>
      </c>
      <c r="T69" s="116">
        <f t="shared" ref="T69:T84" si="45">L69*H69</f>
        <v>0</v>
      </c>
      <c r="U69" s="116"/>
      <c r="V69" s="116">
        <f t="shared" si="16"/>
        <v>0</v>
      </c>
      <c r="W69" s="106"/>
    </row>
    <row r="70" spans="2:25" ht="19.05" customHeight="1" x14ac:dyDescent="0.65">
      <c r="B70" s="707" t="s">
        <v>183</v>
      </c>
      <c r="C70" s="111" t="s">
        <v>502</v>
      </c>
      <c r="D70" s="548">
        <v>24</v>
      </c>
      <c r="E70" s="604">
        <v>115.7</v>
      </c>
      <c r="F70" s="548">
        <v>121</v>
      </c>
      <c r="G70" s="708"/>
      <c r="H70" s="548">
        <v>121</v>
      </c>
      <c r="I70" s="319"/>
      <c r="J70" s="113"/>
      <c r="K70" s="323"/>
      <c r="L70" s="324">
        <f t="shared" si="41"/>
        <v>0</v>
      </c>
      <c r="M70" s="325">
        <f t="shared" si="1"/>
        <v>0</v>
      </c>
      <c r="N70" s="228"/>
      <c r="O70" s="223">
        <f t="shared" si="42"/>
        <v>0</v>
      </c>
      <c r="P70" s="724"/>
      <c r="Q70" s="711">
        <f t="shared" si="3"/>
        <v>0</v>
      </c>
      <c r="R70" s="109">
        <f t="shared" si="43"/>
        <v>0</v>
      </c>
      <c r="S70" s="109">
        <f t="shared" si="44"/>
        <v>0</v>
      </c>
      <c r="T70" s="116">
        <f t="shared" si="45"/>
        <v>0</v>
      </c>
      <c r="U70" s="116"/>
      <c r="V70" s="116">
        <f t="shared" si="16"/>
        <v>0</v>
      </c>
      <c r="W70" s="106"/>
    </row>
    <row r="71" spans="2:25" ht="19.05" customHeight="1" x14ac:dyDescent="0.65">
      <c r="B71" s="707" t="s">
        <v>183</v>
      </c>
      <c r="C71" s="558" t="s">
        <v>503</v>
      </c>
      <c r="D71" s="578">
        <v>24</v>
      </c>
      <c r="E71" s="578">
        <v>282.87</v>
      </c>
      <c r="F71" s="578">
        <v>297</v>
      </c>
      <c r="G71" s="710"/>
      <c r="H71" s="548">
        <v>297</v>
      </c>
      <c r="I71" s="319"/>
      <c r="J71" s="113"/>
      <c r="K71" s="323"/>
      <c r="L71" s="324">
        <f t="shared" si="41"/>
        <v>0</v>
      </c>
      <c r="M71" s="325">
        <f t="shared" ref="M71" si="46">L71*H71</f>
        <v>0</v>
      </c>
      <c r="N71" s="228"/>
      <c r="O71" s="223">
        <f t="shared" si="42"/>
        <v>0</v>
      </c>
      <c r="P71" s="724"/>
      <c r="Q71" s="711">
        <f t="shared" si="3"/>
        <v>0</v>
      </c>
      <c r="R71" s="109">
        <f t="shared" si="43"/>
        <v>0</v>
      </c>
      <c r="S71" s="109">
        <f t="shared" si="44"/>
        <v>0</v>
      </c>
      <c r="T71" s="116">
        <f t="shared" si="45"/>
        <v>0</v>
      </c>
      <c r="U71" s="116">
        <v>6789</v>
      </c>
      <c r="V71" s="116">
        <f t="shared" si="16"/>
        <v>7128.45</v>
      </c>
      <c r="W71" s="106"/>
    </row>
    <row r="72" spans="2:25" ht="19.05" customHeight="1" x14ac:dyDescent="0.65">
      <c r="B72" s="707" t="s">
        <v>183</v>
      </c>
      <c r="C72" s="555" t="s">
        <v>188</v>
      </c>
      <c r="D72" s="556"/>
      <c r="E72" s="557"/>
      <c r="F72" s="556"/>
      <c r="G72" s="557"/>
      <c r="H72" s="548">
        <v>0</v>
      </c>
      <c r="I72" s="319"/>
      <c r="J72" s="113"/>
      <c r="K72" s="323"/>
      <c r="L72" s="324">
        <f t="shared" si="41"/>
        <v>0</v>
      </c>
      <c r="M72" s="325">
        <f t="shared" si="1"/>
        <v>0</v>
      </c>
      <c r="N72" s="228"/>
      <c r="O72" s="223">
        <f t="shared" si="42"/>
        <v>0</v>
      </c>
      <c r="P72" s="724"/>
      <c r="Q72" s="711">
        <f t="shared" si="3"/>
        <v>0</v>
      </c>
      <c r="R72" s="109">
        <f t="shared" si="43"/>
        <v>0</v>
      </c>
      <c r="S72" s="109">
        <f t="shared" si="44"/>
        <v>0</v>
      </c>
      <c r="T72" s="116">
        <f t="shared" si="45"/>
        <v>0</v>
      </c>
      <c r="U72" s="116"/>
      <c r="V72" s="116">
        <f t="shared" si="16"/>
        <v>0</v>
      </c>
      <c r="W72" s="106"/>
    </row>
    <row r="73" spans="2:25" ht="19.05" customHeight="1" x14ac:dyDescent="0.65">
      <c r="B73" s="707" t="s">
        <v>183</v>
      </c>
      <c r="C73" s="111" t="s">
        <v>498</v>
      </c>
      <c r="D73" s="548">
        <v>48</v>
      </c>
      <c r="E73" s="550">
        <v>55.71</v>
      </c>
      <c r="F73" s="548">
        <v>58.5</v>
      </c>
      <c r="G73" s="550"/>
      <c r="H73" s="548">
        <v>58.5</v>
      </c>
      <c r="I73" s="319"/>
      <c r="J73" s="113"/>
      <c r="K73" s="323"/>
      <c r="L73" s="324">
        <f t="shared" si="41"/>
        <v>0</v>
      </c>
      <c r="M73" s="325">
        <f t="shared" si="1"/>
        <v>0</v>
      </c>
      <c r="N73" s="228"/>
      <c r="O73" s="223">
        <f t="shared" si="42"/>
        <v>0</v>
      </c>
      <c r="P73" s="724"/>
      <c r="Q73" s="711">
        <f t="shared" ref="Q73:Q84" si="47">P73*H73</f>
        <v>0</v>
      </c>
      <c r="R73" s="109">
        <f t="shared" si="43"/>
        <v>0</v>
      </c>
      <c r="S73" s="109">
        <f t="shared" si="44"/>
        <v>0</v>
      </c>
      <c r="T73" s="116">
        <f t="shared" si="45"/>
        <v>0</v>
      </c>
      <c r="U73" s="116"/>
      <c r="V73" s="116">
        <f t="shared" ref="V73:V84" si="48">U73*5/100+U73</f>
        <v>0</v>
      </c>
      <c r="W73" s="106"/>
    </row>
    <row r="74" spans="2:25" ht="19.05" customHeight="1" x14ac:dyDescent="0.65">
      <c r="B74" s="707" t="s">
        <v>183</v>
      </c>
      <c r="C74" s="111" t="s">
        <v>499</v>
      </c>
      <c r="D74" s="548">
        <v>24</v>
      </c>
      <c r="E74" s="548">
        <v>114</v>
      </c>
      <c r="F74" s="548">
        <v>120</v>
      </c>
      <c r="G74" s="550"/>
      <c r="H74" s="548">
        <v>120</v>
      </c>
      <c r="I74" s="319"/>
      <c r="J74" s="113"/>
      <c r="K74" s="323"/>
      <c r="L74" s="324">
        <f t="shared" si="41"/>
        <v>0</v>
      </c>
      <c r="M74" s="325">
        <f t="shared" ref="M74:M75" si="49">L74*H74</f>
        <v>0</v>
      </c>
      <c r="N74" s="228"/>
      <c r="O74" s="223">
        <f t="shared" si="42"/>
        <v>0</v>
      </c>
      <c r="P74" s="724"/>
      <c r="Q74" s="711">
        <f t="shared" si="47"/>
        <v>0</v>
      </c>
      <c r="R74" s="109">
        <f t="shared" si="43"/>
        <v>0</v>
      </c>
      <c r="S74" s="109">
        <f t="shared" si="44"/>
        <v>0</v>
      </c>
      <c r="T74" s="116">
        <f t="shared" si="45"/>
        <v>0</v>
      </c>
      <c r="U74" s="116"/>
      <c r="V74" s="116">
        <f>U74*5/100+U74</f>
        <v>0</v>
      </c>
      <c r="W74" s="106"/>
    </row>
    <row r="75" spans="2:25" ht="19.05" customHeight="1" x14ac:dyDescent="0.65">
      <c r="B75" s="707" t="s">
        <v>183</v>
      </c>
      <c r="C75" s="111" t="s">
        <v>500</v>
      </c>
      <c r="D75" s="548">
        <v>24</v>
      </c>
      <c r="E75" s="605">
        <v>270.66000000000003</v>
      </c>
      <c r="F75" s="548">
        <v>284</v>
      </c>
      <c r="G75" s="550"/>
      <c r="H75" s="548">
        <v>284</v>
      </c>
      <c r="I75" s="319"/>
      <c r="J75" s="113"/>
      <c r="K75" s="323"/>
      <c r="L75" s="324">
        <f t="shared" si="41"/>
        <v>0</v>
      </c>
      <c r="M75" s="325">
        <f t="shared" si="49"/>
        <v>0</v>
      </c>
      <c r="N75" s="228"/>
      <c r="O75" s="223">
        <f t="shared" si="42"/>
        <v>0</v>
      </c>
      <c r="P75" s="724"/>
      <c r="Q75" s="711">
        <f t="shared" si="47"/>
        <v>0</v>
      </c>
      <c r="R75" s="109">
        <f t="shared" si="43"/>
        <v>0</v>
      </c>
      <c r="S75" s="109">
        <f t="shared" si="44"/>
        <v>0</v>
      </c>
      <c r="T75" s="116">
        <f t="shared" si="45"/>
        <v>0</v>
      </c>
      <c r="U75" s="116">
        <v>6496</v>
      </c>
      <c r="V75" s="116">
        <f>U75*5/100+U75</f>
        <v>6820.8</v>
      </c>
      <c r="W75" s="106"/>
    </row>
    <row r="76" spans="2:25" ht="19.05" customHeight="1" x14ac:dyDescent="0.65">
      <c r="B76" s="707" t="s">
        <v>183</v>
      </c>
      <c r="C76" s="559" t="s">
        <v>189</v>
      </c>
      <c r="D76" s="560">
        <v>72</v>
      </c>
      <c r="E76" s="561">
        <v>47.63</v>
      </c>
      <c r="F76" s="560">
        <v>50</v>
      </c>
      <c r="G76" s="561"/>
      <c r="H76" s="548">
        <v>50</v>
      </c>
      <c r="I76" s="319"/>
      <c r="J76" s="113"/>
      <c r="K76" s="323"/>
      <c r="L76" s="324">
        <f t="shared" si="41"/>
        <v>0</v>
      </c>
      <c r="M76" s="325">
        <f t="shared" si="1"/>
        <v>0</v>
      </c>
      <c r="N76" s="228"/>
      <c r="O76" s="223">
        <f t="shared" si="42"/>
        <v>0</v>
      </c>
      <c r="P76" s="724"/>
      <c r="Q76" s="711">
        <f t="shared" si="47"/>
        <v>0</v>
      </c>
      <c r="R76" s="109">
        <f t="shared" si="43"/>
        <v>0</v>
      </c>
      <c r="S76" s="109">
        <f t="shared" si="44"/>
        <v>0</v>
      </c>
      <c r="T76" s="116">
        <f t="shared" si="45"/>
        <v>0</v>
      </c>
      <c r="U76" s="116"/>
      <c r="V76" s="116">
        <f t="shared" si="48"/>
        <v>0</v>
      </c>
      <c r="W76" s="106"/>
    </row>
    <row r="77" spans="2:25" ht="19.05" customHeight="1" x14ac:dyDescent="0.65">
      <c r="B77" s="707"/>
      <c r="C77" s="690" t="s">
        <v>493</v>
      </c>
      <c r="D77" s="560">
        <v>72</v>
      </c>
      <c r="E77" s="561">
        <v>77.37</v>
      </c>
      <c r="F77" s="560">
        <v>81</v>
      </c>
      <c r="G77" s="561"/>
      <c r="H77" s="548">
        <v>81</v>
      </c>
      <c r="I77" s="319"/>
      <c r="J77" s="113"/>
      <c r="K77" s="323"/>
      <c r="L77" s="324">
        <f t="shared" si="41"/>
        <v>0</v>
      </c>
      <c r="M77" s="325">
        <f t="shared" si="1"/>
        <v>0</v>
      </c>
      <c r="N77" s="228"/>
      <c r="O77" s="223">
        <f t="shared" si="42"/>
        <v>0</v>
      </c>
      <c r="P77" s="724"/>
      <c r="Q77" s="711">
        <f t="shared" si="47"/>
        <v>0</v>
      </c>
      <c r="R77" s="109">
        <f t="shared" si="43"/>
        <v>0</v>
      </c>
      <c r="S77" s="109">
        <f t="shared" si="44"/>
        <v>0</v>
      </c>
      <c r="T77" s="116">
        <f t="shared" si="45"/>
        <v>0</v>
      </c>
      <c r="U77" s="116">
        <v>5571</v>
      </c>
      <c r="V77" s="116">
        <f t="shared" si="48"/>
        <v>5849.55</v>
      </c>
      <c r="W77" s="106"/>
    </row>
    <row r="78" spans="2:25" ht="19.05" customHeight="1" x14ac:dyDescent="0.65">
      <c r="B78" s="707" t="s">
        <v>190</v>
      </c>
      <c r="C78" s="559" t="s">
        <v>191</v>
      </c>
      <c r="D78" s="560">
        <v>20</v>
      </c>
      <c r="E78" s="561">
        <v>140</v>
      </c>
      <c r="F78" s="560">
        <v>145</v>
      </c>
      <c r="G78" s="561"/>
      <c r="H78" s="548">
        <v>145</v>
      </c>
      <c r="I78" s="319"/>
      <c r="J78" s="113"/>
      <c r="K78" s="572"/>
      <c r="L78" s="324">
        <f t="shared" si="41"/>
        <v>0</v>
      </c>
      <c r="M78" s="325">
        <f t="shared" si="1"/>
        <v>0</v>
      </c>
      <c r="N78" s="228"/>
      <c r="O78" s="223">
        <f t="shared" si="42"/>
        <v>0</v>
      </c>
      <c r="P78" s="724"/>
      <c r="Q78" s="711">
        <f t="shared" si="47"/>
        <v>0</v>
      </c>
      <c r="R78" s="109">
        <f t="shared" si="43"/>
        <v>0</v>
      </c>
      <c r="S78" s="109">
        <f t="shared" si="44"/>
        <v>0</v>
      </c>
      <c r="T78" s="116">
        <f t="shared" si="45"/>
        <v>0</v>
      </c>
      <c r="U78" s="116">
        <v>2800</v>
      </c>
      <c r="V78" s="116">
        <f t="shared" si="48"/>
        <v>2940</v>
      </c>
      <c r="W78" s="106"/>
    </row>
    <row r="79" spans="2:25" ht="19.05" customHeight="1" x14ac:dyDescent="0.65">
      <c r="B79" s="707" t="s">
        <v>192</v>
      </c>
      <c r="C79" s="111" t="s">
        <v>193</v>
      </c>
      <c r="D79" s="548">
        <v>24</v>
      </c>
      <c r="E79" s="553">
        <v>47.91</v>
      </c>
      <c r="F79" s="548">
        <v>50</v>
      </c>
      <c r="G79" s="550"/>
      <c r="H79" s="548">
        <v>50</v>
      </c>
      <c r="I79" s="319"/>
      <c r="J79" s="113"/>
      <c r="K79" s="323"/>
      <c r="L79" s="324">
        <f t="shared" si="41"/>
        <v>0</v>
      </c>
      <c r="M79" s="325">
        <f t="shared" si="1"/>
        <v>0</v>
      </c>
      <c r="N79" s="228"/>
      <c r="O79" s="223">
        <f t="shared" si="42"/>
        <v>0</v>
      </c>
      <c r="P79" s="724"/>
      <c r="Q79" s="711">
        <f t="shared" si="47"/>
        <v>0</v>
      </c>
      <c r="R79" s="109">
        <f t="shared" si="43"/>
        <v>0</v>
      </c>
      <c r="S79" s="109">
        <f t="shared" si="44"/>
        <v>0</v>
      </c>
      <c r="T79" s="116">
        <f t="shared" si="45"/>
        <v>0</v>
      </c>
      <c r="U79" s="116"/>
      <c r="V79" s="116">
        <f t="shared" si="48"/>
        <v>0</v>
      </c>
      <c r="W79" s="106"/>
    </row>
    <row r="80" spans="2:25" ht="19.05" customHeight="1" x14ac:dyDescent="0.65">
      <c r="B80" s="707" t="s">
        <v>192</v>
      </c>
      <c r="C80" s="111" t="s">
        <v>194</v>
      </c>
      <c r="D80" s="548">
        <v>12</v>
      </c>
      <c r="E80" s="553">
        <v>95.83</v>
      </c>
      <c r="F80" s="548">
        <v>100</v>
      </c>
      <c r="G80" s="550"/>
      <c r="H80" s="548">
        <v>100</v>
      </c>
      <c r="I80" s="319"/>
      <c r="J80" s="113"/>
      <c r="K80" s="572"/>
      <c r="L80" s="324">
        <f t="shared" si="41"/>
        <v>0</v>
      </c>
      <c r="M80" s="325">
        <f t="shared" si="1"/>
        <v>0</v>
      </c>
      <c r="N80" s="228"/>
      <c r="O80" s="223">
        <f t="shared" si="42"/>
        <v>0</v>
      </c>
      <c r="P80" s="724"/>
      <c r="Q80" s="711">
        <f t="shared" si="47"/>
        <v>0</v>
      </c>
      <c r="R80" s="109">
        <f t="shared" si="43"/>
        <v>0</v>
      </c>
      <c r="S80" s="109">
        <f t="shared" si="44"/>
        <v>0</v>
      </c>
      <c r="T80" s="116">
        <f t="shared" si="45"/>
        <v>0</v>
      </c>
      <c r="U80" s="116"/>
      <c r="V80" s="116">
        <f t="shared" si="48"/>
        <v>0</v>
      </c>
      <c r="W80" s="106"/>
    </row>
    <row r="81" spans="2:25" ht="19.05" customHeight="1" x14ac:dyDescent="0.65">
      <c r="B81" s="707" t="s">
        <v>192</v>
      </c>
      <c r="C81" s="111" t="s">
        <v>195</v>
      </c>
      <c r="D81" s="548">
        <v>24</v>
      </c>
      <c r="E81" s="553">
        <v>58.25</v>
      </c>
      <c r="F81" s="548">
        <v>61</v>
      </c>
      <c r="G81" s="550"/>
      <c r="H81" s="548">
        <v>61</v>
      </c>
      <c r="I81" s="319"/>
      <c r="J81" s="113"/>
      <c r="K81" s="323"/>
      <c r="L81" s="324">
        <f t="shared" si="41"/>
        <v>0</v>
      </c>
      <c r="M81" s="325">
        <f t="shared" si="1"/>
        <v>0</v>
      </c>
      <c r="N81" s="228"/>
      <c r="O81" s="223">
        <f t="shared" si="42"/>
        <v>0</v>
      </c>
      <c r="P81" s="724"/>
      <c r="Q81" s="711">
        <f t="shared" si="47"/>
        <v>0</v>
      </c>
      <c r="R81" s="109">
        <f t="shared" si="43"/>
        <v>0</v>
      </c>
      <c r="S81" s="109">
        <f t="shared" si="44"/>
        <v>0</v>
      </c>
      <c r="T81" s="116">
        <f t="shared" si="45"/>
        <v>0</v>
      </c>
      <c r="U81" s="116"/>
      <c r="V81" s="116">
        <f t="shared" si="48"/>
        <v>0</v>
      </c>
      <c r="W81" s="106"/>
    </row>
    <row r="82" spans="2:25" ht="19.05" customHeight="1" x14ac:dyDescent="0.65">
      <c r="B82" s="707" t="s">
        <v>196</v>
      </c>
      <c r="C82" s="111" t="s">
        <v>197</v>
      </c>
      <c r="D82" s="548">
        <v>12</v>
      </c>
      <c r="E82" s="550">
        <v>36.33</v>
      </c>
      <c r="F82" s="551">
        <v>38</v>
      </c>
      <c r="G82" s="708"/>
      <c r="H82" s="548">
        <v>38</v>
      </c>
      <c r="I82" s="319"/>
      <c r="J82" s="113"/>
      <c r="K82" s="323"/>
      <c r="L82" s="324">
        <f t="shared" si="41"/>
        <v>0</v>
      </c>
      <c r="M82" s="325">
        <f t="shared" si="1"/>
        <v>0</v>
      </c>
      <c r="N82" s="228"/>
      <c r="O82" s="223">
        <f t="shared" si="42"/>
        <v>0</v>
      </c>
      <c r="P82" s="724"/>
      <c r="Q82" s="711">
        <f t="shared" si="47"/>
        <v>0</v>
      </c>
      <c r="R82" s="109">
        <f t="shared" si="43"/>
        <v>0</v>
      </c>
      <c r="S82" s="109">
        <f t="shared" si="44"/>
        <v>0</v>
      </c>
      <c r="T82" s="116">
        <f t="shared" si="45"/>
        <v>0</v>
      </c>
      <c r="U82" s="116"/>
      <c r="V82" s="116">
        <f t="shared" si="48"/>
        <v>0</v>
      </c>
      <c r="W82" s="106"/>
    </row>
    <row r="83" spans="2:25" ht="19.05" customHeight="1" x14ac:dyDescent="0.65">
      <c r="B83" s="707" t="s">
        <v>198</v>
      </c>
      <c r="C83" s="600" t="s">
        <v>199</v>
      </c>
      <c r="D83" s="560">
        <v>48</v>
      </c>
      <c r="E83" s="561">
        <v>61.9</v>
      </c>
      <c r="F83" s="560">
        <v>65</v>
      </c>
      <c r="G83" s="561"/>
      <c r="H83" s="548">
        <v>65</v>
      </c>
      <c r="I83" s="319"/>
      <c r="J83" s="113"/>
      <c r="K83" s="323"/>
      <c r="L83" s="324">
        <f t="shared" si="41"/>
        <v>0</v>
      </c>
      <c r="M83" s="325">
        <f t="shared" ref="M83" si="50">L83*H83</f>
        <v>0</v>
      </c>
      <c r="N83" s="228"/>
      <c r="O83" s="223">
        <f t="shared" si="42"/>
        <v>0</v>
      </c>
      <c r="P83" s="724"/>
      <c r="Q83" s="711">
        <f t="shared" si="47"/>
        <v>0</v>
      </c>
      <c r="R83" s="109">
        <f t="shared" si="43"/>
        <v>0</v>
      </c>
      <c r="S83" s="109">
        <f t="shared" si="44"/>
        <v>0</v>
      </c>
      <c r="T83" s="116">
        <f t="shared" si="45"/>
        <v>0</v>
      </c>
      <c r="U83" s="116"/>
      <c r="V83" s="116">
        <f t="shared" si="48"/>
        <v>0</v>
      </c>
      <c r="W83" s="106"/>
    </row>
    <row r="84" spans="2:25" ht="19.05" customHeight="1" x14ac:dyDescent="0.65">
      <c r="B84" s="707" t="s">
        <v>198</v>
      </c>
      <c r="C84" s="559" t="s">
        <v>520</v>
      </c>
      <c r="D84" s="560">
        <v>80</v>
      </c>
      <c r="E84" s="561"/>
      <c r="F84" s="560">
        <v>630</v>
      </c>
      <c r="G84" s="561"/>
      <c r="H84" s="560">
        <v>630</v>
      </c>
      <c r="I84" s="319"/>
      <c r="J84" s="113"/>
      <c r="K84" s="323"/>
      <c r="L84" s="324">
        <f t="shared" ref="L84" si="51">I84-K84</f>
        <v>0</v>
      </c>
      <c r="M84" s="325">
        <f t="shared" ref="M84" si="52">L84*H84</f>
        <v>0</v>
      </c>
      <c r="N84" s="228"/>
      <c r="O84" s="223">
        <f t="shared" si="42"/>
        <v>0</v>
      </c>
      <c r="P84" s="724"/>
      <c r="Q84" s="711">
        <f t="shared" si="47"/>
        <v>0</v>
      </c>
      <c r="R84" s="109">
        <f t="shared" si="43"/>
        <v>0</v>
      </c>
      <c r="S84" s="109">
        <f t="shared" si="44"/>
        <v>0</v>
      </c>
      <c r="T84" s="116">
        <f t="shared" si="45"/>
        <v>0</v>
      </c>
      <c r="U84" s="116"/>
      <c r="V84" s="116">
        <f t="shared" si="48"/>
        <v>0</v>
      </c>
      <c r="W84" s="106"/>
    </row>
    <row r="85" spans="2:25" ht="25.8" customHeight="1" x14ac:dyDescent="0.55000000000000004">
      <c r="B85" s="133"/>
      <c r="C85" s="228"/>
      <c r="D85" s="268"/>
      <c r="E85" s="268"/>
      <c r="F85" s="268"/>
      <c r="G85" s="268"/>
      <c r="H85" s="269"/>
      <c r="I85" s="269"/>
      <c r="J85" s="848" t="s">
        <v>204</v>
      </c>
      <c r="K85" s="848"/>
      <c r="L85" s="848"/>
      <c r="M85" s="349">
        <f>SUM(M4:M84)</f>
        <v>57687.810000000005</v>
      </c>
      <c r="N85" s="697" t="s">
        <v>327</v>
      </c>
      <c r="O85" s="717">
        <f>SUM(O4:O84)</f>
        <v>3207</v>
      </c>
      <c r="P85" s="729" t="s">
        <v>450</v>
      </c>
      <c r="Q85" s="716">
        <f>SUM(Q4:Q84)</f>
        <v>241</v>
      </c>
      <c r="R85" s="271">
        <f>SUM(R4:R84)</f>
        <v>72224.12000000001</v>
      </c>
      <c r="S85" s="271">
        <f>SUM(S4:S84)</f>
        <v>14536.310000000001</v>
      </c>
      <c r="T85" s="272">
        <f>SUM(T4:T84)</f>
        <v>57687.810000000005</v>
      </c>
      <c r="U85" s="272"/>
      <c r="V85" s="272"/>
      <c r="W85" s="267"/>
    </row>
    <row r="86" spans="2:25" ht="19.05" customHeight="1" x14ac:dyDescent="0.65">
      <c r="B86" s="105"/>
      <c r="C86" s="562"/>
      <c r="D86" s="859"/>
      <c r="E86" s="859"/>
      <c r="F86" s="859"/>
      <c r="G86" s="545"/>
      <c r="H86" s="118"/>
      <c r="I86" s="849" t="s">
        <v>328</v>
      </c>
      <c r="J86" s="849"/>
      <c r="K86" s="849"/>
      <c r="L86" s="849"/>
      <c r="M86" s="579">
        <f>O85</f>
        <v>3207</v>
      </c>
      <c r="N86" s="506"/>
      <c r="O86" s="119"/>
      <c r="P86" s="713"/>
      <c r="Q86" s="714"/>
      <c r="R86" s="120"/>
      <c r="S86" s="120"/>
      <c r="T86" s="106"/>
      <c r="U86" s="106"/>
      <c r="V86" s="106"/>
      <c r="W86" s="106"/>
    </row>
    <row r="87" spans="2:25" ht="19.05" customHeight="1" x14ac:dyDescent="0.55000000000000004">
      <c r="B87" s="105"/>
      <c r="C87" s="562"/>
      <c r="D87" s="860"/>
      <c r="E87" s="860"/>
      <c r="F87" s="424"/>
      <c r="G87" s="546"/>
      <c r="H87" s="122"/>
      <c r="I87" s="870" t="s">
        <v>270</v>
      </c>
      <c r="J87" s="870"/>
      <c r="K87" s="870"/>
      <c r="L87" s="870"/>
      <c r="M87" s="725">
        <f>M85-M86</f>
        <v>54480.810000000005</v>
      </c>
      <c r="N87" s="506"/>
      <c r="O87" s="123"/>
      <c r="P87" s="123"/>
      <c r="Q87" s="715"/>
      <c r="R87" s="120"/>
      <c r="S87" s="120"/>
      <c r="T87" s="106"/>
      <c r="U87" s="106"/>
      <c r="V87" s="106"/>
      <c r="W87" s="106"/>
    </row>
    <row r="88" spans="2:25" ht="16.95" customHeight="1" x14ac:dyDescent="0.55000000000000004">
      <c r="B88" s="105"/>
      <c r="C88" s="124" t="s">
        <v>206</v>
      </c>
      <c r="D88" s="563">
        <v>1000</v>
      </c>
      <c r="E88" s="110">
        <v>16</v>
      </c>
      <c r="F88" s="601">
        <f>D88*E88</f>
        <v>16000</v>
      </c>
      <c r="G88" s="126"/>
      <c r="H88" s="263"/>
      <c r="I88" s="120"/>
      <c r="J88" s="120"/>
      <c r="K88" s="852"/>
      <c r="L88" s="852"/>
      <c r="M88" s="546"/>
      <c r="N88" s="506"/>
      <c r="O88" s="123"/>
      <c r="P88" s="123"/>
      <c r="Q88" s="123"/>
      <c r="R88" s="120"/>
      <c r="S88" s="120"/>
      <c r="T88" s="106"/>
      <c r="U88" s="106"/>
      <c r="V88" s="106"/>
      <c r="W88" s="106"/>
    </row>
    <row r="89" spans="2:25" ht="16.95" customHeight="1" x14ac:dyDescent="0.55000000000000004">
      <c r="B89" s="105"/>
      <c r="C89" s="564"/>
      <c r="D89" s="110">
        <v>500</v>
      </c>
      <c r="E89" s="616">
        <v>37</v>
      </c>
      <c r="F89" s="601">
        <f t="shared" ref="F89:F96" si="53">D89*E89</f>
        <v>18500</v>
      </c>
      <c r="G89" s="126"/>
      <c r="H89" s="263"/>
      <c r="I89" s="120"/>
      <c r="J89" s="850" t="s">
        <v>207</v>
      </c>
      <c r="K89" s="850"/>
      <c r="L89" s="850"/>
      <c r="M89" s="851"/>
      <c r="N89" s="726">
        <f>M87</f>
        <v>54480.810000000005</v>
      </c>
      <c r="O89" s="426"/>
      <c r="P89" s="506"/>
      <c r="Q89" s="123"/>
      <c r="R89" s="120"/>
      <c r="S89" s="120"/>
      <c r="T89" s="106"/>
      <c r="U89" s="106"/>
      <c r="V89" s="106"/>
      <c r="W89" s="106"/>
    </row>
    <row r="90" spans="2:25" ht="19.8" customHeight="1" x14ac:dyDescent="0.55000000000000004">
      <c r="B90" s="105"/>
      <c r="C90" s="616"/>
      <c r="D90" s="110">
        <v>200</v>
      </c>
      <c r="E90" s="110">
        <v>7</v>
      </c>
      <c r="F90" s="601">
        <f t="shared" si="53"/>
        <v>1400</v>
      </c>
      <c r="G90" s="126"/>
      <c r="H90" s="263"/>
      <c r="I90" s="120"/>
      <c r="J90" s="120"/>
      <c r="K90" s="123"/>
      <c r="L90" s="127"/>
      <c r="M90" s="128" t="s">
        <v>394</v>
      </c>
      <c r="N90" s="730">
        <f>F97</f>
        <v>42710</v>
      </c>
      <c r="O90" s="426"/>
      <c r="P90" s="506"/>
      <c r="Q90" s="123"/>
      <c r="R90" s="120"/>
      <c r="S90" s="120"/>
      <c r="T90" s="106"/>
      <c r="U90" s="106"/>
      <c r="V90" s="106"/>
      <c r="W90" s="106"/>
    </row>
    <row r="91" spans="2:25" ht="16.95" customHeight="1" x14ac:dyDescent="0.55000000000000004">
      <c r="B91" s="105"/>
      <c r="C91" s="564"/>
      <c r="D91" s="110">
        <v>100</v>
      </c>
      <c r="E91" s="110">
        <v>33</v>
      </c>
      <c r="F91" s="601">
        <f t="shared" si="53"/>
        <v>3300</v>
      </c>
      <c r="G91" s="126"/>
      <c r="H91" s="263"/>
      <c r="I91" s="562"/>
      <c r="J91" s="562"/>
      <c r="K91" s="562"/>
      <c r="L91" s="564"/>
      <c r="M91" s="128" t="s">
        <v>393</v>
      </c>
      <c r="N91" s="286">
        <v>240</v>
      </c>
      <c r="O91" s="565"/>
      <c r="P91" s="700"/>
      <c r="Q91" s="562"/>
      <c r="R91" s="825"/>
      <c r="S91" s="117"/>
      <c r="T91" s="106"/>
      <c r="U91" s="106"/>
      <c r="V91" s="106"/>
      <c r="W91" s="106"/>
    </row>
    <row r="92" spans="2:25" ht="16.95" customHeight="1" x14ac:dyDescent="0.55000000000000004">
      <c r="B92" s="131"/>
      <c r="C92" s="566"/>
      <c r="D92" s="129">
        <v>50</v>
      </c>
      <c r="E92" s="110">
        <v>12</v>
      </c>
      <c r="F92" s="601">
        <f t="shared" si="53"/>
        <v>600</v>
      </c>
      <c r="G92" s="126"/>
      <c r="H92" s="263"/>
      <c r="I92" s="562"/>
      <c r="J92" s="562"/>
      <c r="K92" s="562"/>
      <c r="L92" s="564"/>
      <c r="M92" s="128" t="s">
        <v>392</v>
      </c>
      <c r="N92" s="286">
        <v>11145</v>
      </c>
      <c r="O92" s="694"/>
      <c r="P92" s="695"/>
      <c r="Q92" s="695"/>
      <c r="R92" s="117"/>
      <c r="S92" s="117"/>
      <c r="T92" s="106"/>
      <c r="U92" s="106"/>
      <c r="V92" s="106"/>
      <c r="W92" s="106"/>
    </row>
    <row r="93" spans="2:25" ht="16.95" customHeight="1" x14ac:dyDescent="0.55000000000000004">
      <c r="B93" s="105"/>
      <c r="C93" s="566"/>
      <c r="D93" s="129">
        <v>20</v>
      </c>
      <c r="E93" s="110">
        <v>24</v>
      </c>
      <c r="F93" s="601">
        <f t="shared" si="53"/>
        <v>480</v>
      </c>
      <c r="G93" s="126"/>
      <c r="H93" s="263"/>
      <c r="I93" s="562"/>
      <c r="J93" s="562"/>
      <c r="K93" s="562"/>
      <c r="L93" s="564"/>
      <c r="M93" s="135" t="s">
        <v>391</v>
      </c>
      <c r="N93" s="286">
        <v>445</v>
      </c>
      <c r="O93" s="696"/>
      <c r="P93" s="701"/>
      <c r="Q93" s="562"/>
      <c r="R93" s="117"/>
      <c r="S93" s="117"/>
      <c r="T93" s="106"/>
      <c r="U93" s="106"/>
      <c r="V93" s="106"/>
      <c r="W93" s="106"/>
    </row>
    <row r="94" spans="2:25" ht="16.95" customHeight="1" x14ac:dyDescent="0.55000000000000004">
      <c r="B94" s="133"/>
      <c r="C94" s="736"/>
      <c r="D94" s="129">
        <v>10</v>
      </c>
      <c r="E94" s="110">
        <v>21</v>
      </c>
      <c r="F94" s="601">
        <f t="shared" si="53"/>
        <v>210</v>
      </c>
      <c r="G94" s="126"/>
      <c r="H94" s="263"/>
      <c r="I94" s="562"/>
      <c r="J94" s="562"/>
      <c r="K94" s="562"/>
      <c r="L94" s="564"/>
      <c r="M94" s="135" t="s">
        <v>518</v>
      </c>
      <c r="N94" s="286"/>
      <c r="O94" s="856"/>
      <c r="P94" s="857"/>
      <c r="Q94" s="857"/>
      <c r="R94" s="857"/>
      <c r="S94" s="117"/>
      <c r="T94" s="106"/>
      <c r="U94" s="106"/>
      <c r="V94" s="106"/>
      <c r="W94" s="106"/>
      <c r="Y94">
        <f>SUM(Y47:Y93)</f>
        <v>0</v>
      </c>
    </row>
    <row r="95" spans="2:25" ht="16.95" customHeight="1" x14ac:dyDescent="0.3">
      <c r="B95" s="105"/>
      <c r="C95" s="616"/>
      <c r="D95" s="129">
        <v>5</v>
      </c>
      <c r="E95" s="129">
        <v>12</v>
      </c>
      <c r="F95" s="601">
        <f t="shared" si="53"/>
        <v>60</v>
      </c>
      <c r="G95" s="126"/>
      <c r="H95" s="263"/>
      <c r="I95" s="562"/>
      <c r="J95" s="562"/>
      <c r="K95" s="562"/>
      <c r="L95" s="562"/>
      <c r="M95" s="507" t="s">
        <v>211</v>
      </c>
      <c r="N95" s="727">
        <f>N89-N90-N91-N92-N93-N94</f>
        <v>-59.189999999995052</v>
      </c>
      <c r="O95" s="858" t="s">
        <v>541</v>
      </c>
      <c r="P95" s="858"/>
      <c r="Q95" s="746"/>
      <c r="R95" s="117"/>
      <c r="S95" s="117"/>
      <c r="T95" s="106"/>
      <c r="U95" s="106"/>
      <c r="V95" s="106"/>
      <c r="W95" s="106"/>
    </row>
    <row r="96" spans="2:25" ht="16.95" customHeight="1" x14ac:dyDescent="0.55000000000000004">
      <c r="B96" s="105"/>
      <c r="C96" s="826"/>
      <c r="D96" s="129">
        <v>1</v>
      </c>
      <c r="E96" s="129">
        <v>2160</v>
      </c>
      <c r="F96" s="601">
        <f t="shared" si="53"/>
        <v>2160</v>
      </c>
      <c r="G96" s="126"/>
      <c r="H96" s="263"/>
      <c r="I96" s="562"/>
      <c r="J96" s="562"/>
      <c r="K96" s="562"/>
      <c r="L96" s="567"/>
      <c r="M96" s="546"/>
      <c r="N96" s="506" t="s">
        <v>473</v>
      </c>
      <c r="O96" s="562"/>
      <c r="P96" s="562" t="s">
        <v>473</v>
      </c>
      <c r="Q96" s="562"/>
      <c r="R96" s="117"/>
      <c r="S96" s="117"/>
      <c r="T96" s="106"/>
      <c r="U96" s="106"/>
      <c r="V96" s="106"/>
      <c r="W96" s="106"/>
    </row>
    <row r="97" spans="2:23" ht="16.95" customHeight="1" x14ac:dyDescent="0.3">
      <c r="B97" s="105"/>
      <c r="C97" s="739"/>
      <c r="D97" s="260" t="s">
        <v>212</v>
      </c>
      <c r="E97" s="260"/>
      <c r="F97" s="721">
        <f>SUM(F88:F96)</f>
        <v>42710</v>
      </c>
      <c r="G97" s="607"/>
      <c r="H97" s="608"/>
      <c r="I97" s="562"/>
      <c r="J97" s="562"/>
      <c r="K97" s="562"/>
      <c r="L97" s="508"/>
      <c r="M97" s="506"/>
      <c r="N97" s="508"/>
      <c r="O97" s="562"/>
      <c r="P97" s="562"/>
      <c r="Q97" s="562"/>
      <c r="R97" s="117"/>
      <c r="S97" s="117"/>
      <c r="T97" s="106"/>
      <c r="U97" s="106"/>
      <c r="V97" s="106"/>
      <c r="W97" s="106"/>
    </row>
    <row r="98" spans="2:23" ht="9" customHeight="1" x14ac:dyDescent="0.3">
      <c r="B98" s="105"/>
      <c r="C98" s="562"/>
      <c r="D98" s="562"/>
      <c r="E98" s="562"/>
      <c r="F98" s="562"/>
      <c r="G98" s="562"/>
      <c r="H98" s="562"/>
      <c r="I98" s="563"/>
      <c r="J98" s="562"/>
      <c r="K98" s="562"/>
      <c r="L98" s="567"/>
      <c r="M98" s="567"/>
      <c r="N98" s="568"/>
      <c r="O98" s="562"/>
      <c r="P98" s="562"/>
      <c r="Q98" s="562"/>
      <c r="R98" s="106"/>
      <c r="S98" s="106"/>
      <c r="T98" s="106"/>
      <c r="U98" s="106"/>
      <c r="V98" s="106"/>
      <c r="W98" s="106"/>
    </row>
    <row r="99" spans="2:23" ht="16.95" customHeight="1" x14ac:dyDescent="0.3">
      <c r="C99" s="584">
        <f ca="1">TODAY()</f>
        <v>46291</v>
      </c>
      <c r="D99" s="563"/>
      <c r="E99" s="563"/>
      <c r="F99" s="875" t="s">
        <v>514</v>
      </c>
      <c r="G99" s="875"/>
      <c r="H99" s="876" t="s">
        <v>521</v>
      </c>
      <c r="I99" s="876"/>
      <c r="J99" s="563"/>
      <c r="K99" s="563"/>
      <c r="L99" s="563"/>
      <c r="M99" s="563"/>
      <c r="N99" s="563"/>
      <c r="O99" s="563"/>
      <c r="P99" s="563"/>
      <c r="Q99" s="563"/>
      <c r="R99" s="106"/>
    </row>
    <row r="100" spans="2:23" ht="16.95" customHeight="1" x14ac:dyDescent="0.3">
      <c r="C100" s="861" t="s">
        <v>390</v>
      </c>
      <c r="D100" s="862"/>
      <c r="E100" s="863"/>
      <c r="F100" s="563"/>
      <c r="G100" s="563"/>
      <c r="H100" s="563"/>
      <c r="I100" s="563"/>
      <c r="J100" s="563"/>
      <c r="K100" s="563"/>
      <c r="L100" s="853" t="s">
        <v>423</v>
      </c>
      <c r="M100" s="853"/>
      <c r="N100" s="581">
        <f>SUM(M4:M20)</f>
        <v>34386</v>
      </c>
      <c r="O100" s="563"/>
      <c r="P100" s="563"/>
      <c r="Q100" s="563"/>
    </row>
    <row r="101" spans="2:23" ht="16.95" customHeight="1" x14ac:dyDescent="0.3">
      <c r="C101" s="569" t="s">
        <v>264</v>
      </c>
      <c r="D101" s="871">
        <f>R85</f>
        <v>72224.12000000001</v>
      </c>
      <c r="E101" s="838"/>
      <c r="F101" s="563"/>
      <c r="G101" s="563"/>
      <c r="H101" s="563"/>
      <c r="I101" s="563"/>
      <c r="J101" s="563"/>
      <c r="K101" s="563"/>
      <c r="L101" s="854" t="s">
        <v>424</v>
      </c>
      <c r="M101" s="854"/>
      <c r="N101" s="582">
        <f>SUM(M21:M84)</f>
        <v>23301.809999999998</v>
      </c>
      <c r="O101" s="563"/>
      <c r="P101" s="563"/>
      <c r="Q101" s="563"/>
    </row>
    <row r="102" spans="2:23" ht="16.95" customHeight="1" x14ac:dyDescent="0.3">
      <c r="C102" s="569" t="s">
        <v>385</v>
      </c>
      <c r="D102" s="871">
        <f>S85</f>
        <v>14536.310000000001</v>
      </c>
      <c r="E102" s="838"/>
      <c r="F102" s="563"/>
      <c r="G102" s="563"/>
      <c r="H102" s="563"/>
      <c r="I102" s="563"/>
      <c r="J102" s="563"/>
      <c r="K102" s="563"/>
      <c r="L102" s="855" t="s">
        <v>425</v>
      </c>
      <c r="M102" s="855"/>
      <c r="N102" s="583">
        <f>O85</f>
        <v>3207</v>
      </c>
      <c r="O102" s="563"/>
      <c r="P102" s="563"/>
      <c r="Q102" s="563"/>
    </row>
    <row r="103" spans="2:23" ht="16.95" customHeight="1" x14ac:dyDescent="0.3">
      <c r="C103" s="569" t="s">
        <v>386</v>
      </c>
      <c r="D103" s="871">
        <f>T85</f>
        <v>57687.810000000005</v>
      </c>
      <c r="E103" s="838"/>
      <c r="F103" s="563"/>
      <c r="G103" s="563"/>
      <c r="H103" s="563"/>
      <c r="I103" s="563"/>
      <c r="J103" s="563"/>
      <c r="K103" s="868" t="s">
        <v>505</v>
      </c>
      <c r="L103" s="868"/>
      <c r="M103" s="869"/>
      <c r="N103" s="580">
        <f>SUM(N93,Q85)</f>
        <v>686</v>
      </c>
      <c r="O103" s="718"/>
      <c r="P103" s="718"/>
      <c r="Q103" s="718"/>
    </row>
    <row r="104" spans="2:23" ht="16.95" customHeight="1" x14ac:dyDescent="0.3">
      <c r="C104" s="569" t="s">
        <v>261</v>
      </c>
      <c r="D104" s="872">
        <f>O85</f>
        <v>3207</v>
      </c>
      <c r="E104" s="872"/>
      <c r="F104" s="563"/>
      <c r="G104" s="563"/>
      <c r="H104" s="563"/>
      <c r="I104" s="563"/>
      <c r="J104" s="563"/>
      <c r="K104" s="563"/>
      <c r="L104" s="865" t="s">
        <v>426</v>
      </c>
      <c r="M104" s="865"/>
      <c r="N104" s="580">
        <f>N100+N101-N102-N103</f>
        <v>53794.81</v>
      </c>
      <c r="O104" s="563"/>
      <c r="P104" s="563"/>
      <c r="Q104" s="563"/>
    </row>
    <row r="105" spans="2:23" ht="16.95" customHeight="1" thickBot="1" x14ac:dyDescent="0.35">
      <c r="C105" s="720" t="s">
        <v>387</v>
      </c>
      <c r="D105" s="873">
        <f>SUM(N93,Q85)</f>
        <v>686</v>
      </c>
      <c r="E105" s="874"/>
      <c r="F105" s="563"/>
      <c r="G105" s="563"/>
      <c r="H105" s="563"/>
      <c r="I105" s="563"/>
      <c r="J105" s="563"/>
      <c r="K105" s="563"/>
      <c r="L105" s="563"/>
      <c r="M105" s="563"/>
      <c r="N105" s="563"/>
      <c r="O105" s="563"/>
      <c r="P105" s="563"/>
      <c r="Q105" s="563"/>
    </row>
    <row r="106" spans="2:23" ht="19.2" customHeight="1" thickBot="1" x14ac:dyDescent="0.45">
      <c r="C106" s="719" t="s">
        <v>388</v>
      </c>
      <c r="D106" s="864">
        <f>D103-D104-D105</f>
        <v>53794.810000000005</v>
      </c>
      <c r="E106" s="864"/>
      <c r="F106" s="748"/>
      <c r="G106" s="563"/>
      <c r="H106" s="563"/>
      <c r="I106" s="563"/>
      <c r="J106" s="563"/>
      <c r="K106" s="866" t="s">
        <v>440</v>
      </c>
      <c r="L106" s="867"/>
      <c r="M106" s="867"/>
      <c r="N106" s="586"/>
      <c r="O106" s="563"/>
      <c r="P106" s="563"/>
      <c r="Q106" s="563"/>
    </row>
    <row r="107" spans="2:23" ht="16.95" customHeight="1" x14ac:dyDescent="0.3">
      <c r="C107" s="563"/>
      <c r="D107" s="563"/>
      <c r="E107" s="563"/>
      <c r="F107" s="563"/>
      <c r="G107" s="563"/>
      <c r="H107" s="563"/>
      <c r="I107" s="563"/>
      <c r="J107" s="563"/>
      <c r="K107" s="563"/>
      <c r="L107" s="563"/>
      <c r="M107" s="563"/>
      <c r="N107" s="563"/>
      <c r="O107" s="563"/>
      <c r="P107" s="563"/>
      <c r="Q107" s="563"/>
    </row>
    <row r="108" spans="2:23" ht="16.95" customHeight="1" x14ac:dyDescent="0.3">
      <c r="C108" s="563"/>
      <c r="D108" s="563"/>
      <c r="E108" s="563"/>
      <c r="F108" s="563"/>
      <c r="G108" s="563"/>
      <c r="H108" s="563"/>
      <c r="I108" s="563"/>
      <c r="J108" s="563"/>
      <c r="K108" s="837" t="s">
        <v>428</v>
      </c>
      <c r="L108" s="837"/>
      <c r="M108" s="588" t="s">
        <v>429</v>
      </c>
      <c r="N108" s="588" t="s">
        <v>430</v>
      </c>
      <c r="O108" s="588" t="s">
        <v>431</v>
      </c>
      <c r="P108" s="702"/>
      <c r="Q108" s="563"/>
    </row>
    <row r="109" spans="2:23" ht="16.95" customHeight="1" x14ac:dyDescent="0.3">
      <c r="C109" s="563"/>
      <c r="D109" s="563"/>
      <c r="E109" s="563"/>
      <c r="F109" s="563"/>
      <c r="G109" s="563"/>
      <c r="H109" s="563"/>
      <c r="I109" s="563"/>
      <c r="J109" s="563"/>
      <c r="K109" s="838" t="s">
        <v>432</v>
      </c>
      <c r="L109" s="838"/>
      <c r="M109" s="585"/>
      <c r="N109" s="585">
        <v>40</v>
      </c>
      <c r="O109" s="585">
        <f>M109*N109</f>
        <v>0</v>
      </c>
      <c r="P109" s="703"/>
      <c r="Q109" s="563"/>
    </row>
    <row r="110" spans="2:23" ht="16.95" customHeight="1" x14ac:dyDescent="0.3">
      <c r="C110" s="563"/>
      <c r="D110" s="563"/>
      <c r="E110" s="563"/>
      <c r="F110" s="563"/>
      <c r="G110" s="563"/>
      <c r="H110" s="563"/>
      <c r="I110" s="563"/>
      <c r="J110" s="563"/>
      <c r="K110" s="838" t="s">
        <v>433</v>
      </c>
      <c r="L110" s="838"/>
      <c r="M110" s="585"/>
      <c r="N110" s="585">
        <v>17.25</v>
      </c>
      <c r="O110" s="585">
        <f t="shared" ref="O110:O111" si="54">M110*N110</f>
        <v>0</v>
      </c>
      <c r="P110" s="703"/>
      <c r="Q110" s="563"/>
    </row>
    <row r="111" spans="2:23" ht="16.95" customHeight="1" x14ac:dyDescent="0.3">
      <c r="C111" s="733"/>
      <c r="D111" s="563"/>
      <c r="E111" s="563"/>
      <c r="F111" s="563"/>
      <c r="G111" s="563"/>
      <c r="H111" s="563"/>
      <c r="I111" s="563"/>
      <c r="J111" s="563"/>
      <c r="K111" s="838" t="s">
        <v>434</v>
      </c>
      <c r="L111" s="838"/>
      <c r="M111" s="585"/>
      <c r="N111" s="585">
        <v>20</v>
      </c>
      <c r="O111" s="585">
        <f t="shared" si="54"/>
        <v>0</v>
      </c>
      <c r="P111" s="703"/>
      <c r="Q111" s="563"/>
    </row>
    <row r="112" spans="2:23" ht="16.95" customHeight="1" x14ac:dyDescent="0.3">
      <c r="C112" s="563"/>
      <c r="D112" s="563"/>
      <c r="E112" s="563"/>
      <c r="F112" s="563"/>
      <c r="G112" s="563"/>
      <c r="H112" s="563"/>
      <c r="I112" s="563"/>
      <c r="J112" s="563"/>
      <c r="K112" s="834" t="s">
        <v>438</v>
      </c>
      <c r="L112" s="835"/>
      <c r="M112" s="587"/>
      <c r="N112" s="587">
        <v>695</v>
      </c>
      <c r="O112" s="587"/>
      <c r="P112" s="704"/>
      <c r="Q112" s="563"/>
    </row>
    <row r="113" spans="3:26" ht="16.95" customHeight="1" x14ac:dyDescent="0.3">
      <c r="C113" s="563"/>
      <c r="D113" s="563"/>
      <c r="E113" s="563"/>
      <c r="F113" s="563"/>
      <c r="G113" s="563"/>
      <c r="H113" s="563"/>
      <c r="I113" s="563"/>
      <c r="J113" s="563"/>
      <c r="K113" s="834" t="s">
        <v>435</v>
      </c>
      <c r="L113" s="835"/>
      <c r="M113" s="587"/>
      <c r="N113" s="587">
        <v>355</v>
      </c>
      <c r="O113" s="587"/>
      <c r="P113" s="704"/>
      <c r="Q113" s="563"/>
    </row>
    <row r="114" spans="3:26" ht="16.95" customHeight="1" x14ac:dyDescent="0.3">
      <c r="C114" s="563"/>
      <c r="D114" s="563"/>
      <c r="E114" s="563"/>
      <c r="F114" s="563"/>
      <c r="G114" s="563"/>
      <c r="H114" s="563"/>
      <c r="I114" s="563"/>
      <c r="J114" s="563"/>
      <c r="K114" s="836" t="s">
        <v>437</v>
      </c>
      <c r="L114" s="836"/>
      <c r="M114" s="587"/>
      <c r="N114" s="587">
        <v>893</v>
      </c>
      <c r="O114" s="587"/>
      <c r="P114" s="704"/>
      <c r="Q114" s="563"/>
    </row>
    <row r="115" spans="3:26" ht="16.95" customHeight="1" x14ac:dyDescent="0.3">
      <c r="C115" s="563"/>
      <c r="D115" s="563"/>
      <c r="E115" s="563"/>
      <c r="F115" s="563"/>
      <c r="G115" s="563"/>
      <c r="H115" s="563"/>
      <c r="J115" s="563"/>
      <c r="K115" s="836" t="s">
        <v>436</v>
      </c>
      <c r="L115" s="836"/>
      <c r="M115" s="587"/>
      <c r="N115" s="587">
        <v>449</v>
      </c>
      <c r="O115" s="587"/>
      <c r="P115" s="704"/>
      <c r="Q115" s="563"/>
    </row>
    <row r="116" spans="3:26" ht="18" x14ac:dyDescent="0.3">
      <c r="N116" s="590" t="s">
        <v>439</v>
      </c>
      <c r="O116" s="589">
        <f>SUM(O109:O115)</f>
        <v>0</v>
      </c>
      <c r="P116" s="589"/>
    </row>
    <row r="124" spans="3:26" ht="18" x14ac:dyDescent="0.35">
      <c r="I124" s="287" t="s">
        <v>276</v>
      </c>
      <c r="M124" s="842" t="s">
        <v>284</v>
      </c>
      <c r="N124" s="843"/>
      <c r="O124" s="288">
        <f>E129</f>
        <v>0</v>
      </c>
      <c r="P124" s="705"/>
      <c r="Q124" s="289"/>
    </row>
    <row r="125" spans="3:26" ht="18" x14ac:dyDescent="0.35">
      <c r="C125" s="287" t="s">
        <v>275</v>
      </c>
      <c r="D125" s="287"/>
      <c r="E125" s="287"/>
      <c r="F125" s="287">
        <v>33256.99</v>
      </c>
      <c r="G125" s="287"/>
      <c r="H125" s="287"/>
      <c r="I125" s="287" t="s">
        <v>278</v>
      </c>
      <c r="J125" s="287">
        <v>0</v>
      </c>
      <c r="M125" s="842" t="s">
        <v>285</v>
      </c>
      <c r="N125" s="843"/>
      <c r="O125" s="290">
        <f>I128</f>
        <v>0</v>
      </c>
      <c r="P125" s="706"/>
      <c r="Q125" s="291"/>
      <c r="S125" t="s">
        <v>320</v>
      </c>
      <c r="Y125" t="s">
        <v>323</v>
      </c>
    </row>
    <row r="126" spans="3:26" ht="18" x14ac:dyDescent="0.35">
      <c r="C126" s="287" t="s">
        <v>277</v>
      </c>
      <c r="D126" s="287"/>
      <c r="E126" s="287"/>
      <c r="F126" s="287">
        <v>31613</v>
      </c>
      <c r="G126" s="287"/>
      <c r="H126" s="287"/>
      <c r="I126" s="287" t="s">
        <v>280</v>
      </c>
      <c r="J126" s="287">
        <v>21987.83</v>
      </c>
      <c r="M126" s="844" t="s">
        <v>262</v>
      </c>
      <c r="N126" s="845"/>
      <c r="O126" s="288">
        <f>G129</f>
        <v>0</v>
      </c>
      <c r="P126" s="705"/>
      <c r="Q126" s="291"/>
    </row>
    <row r="127" spans="3:26" ht="18" x14ac:dyDescent="0.35">
      <c r="C127" s="287" t="s">
        <v>279</v>
      </c>
      <c r="D127" s="287"/>
      <c r="E127" s="287"/>
      <c r="F127" s="287">
        <v>450</v>
      </c>
      <c r="G127" s="287"/>
      <c r="H127" s="287"/>
      <c r="I127" s="287" t="s">
        <v>282</v>
      </c>
      <c r="J127" s="287">
        <v>11269.16</v>
      </c>
      <c r="M127" s="846"/>
      <c r="N127" s="847"/>
      <c r="O127" s="292">
        <f>O125+O126-O124</f>
        <v>0</v>
      </c>
      <c r="P127" s="706"/>
      <c r="Q127" s="291"/>
      <c r="S127" t="s">
        <v>321</v>
      </c>
      <c r="Z127" t="s">
        <v>322</v>
      </c>
    </row>
    <row r="128" spans="3:26" ht="18" x14ac:dyDescent="0.35">
      <c r="C128" s="287" t="s">
        <v>281</v>
      </c>
      <c r="D128" s="287"/>
      <c r="E128" s="287"/>
      <c r="F128" s="287">
        <v>1215</v>
      </c>
      <c r="G128" s="287"/>
      <c r="H128" s="287"/>
      <c r="I128" s="287"/>
      <c r="J128" s="287">
        <v>0</v>
      </c>
      <c r="M128" s="839" t="s">
        <v>286</v>
      </c>
      <c r="N128" s="840"/>
      <c r="O128" s="840"/>
      <c r="P128" s="699"/>
      <c r="Q128" s="747"/>
    </row>
    <row r="129" spans="3:27" ht="18" x14ac:dyDescent="0.35">
      <c r="C129" s="287" t="s">
        <v>283</v>
      </c>
      <c r="D129" s="287"/>
      <c r="E129" s="287"/>
      <c r="F129" s="287">
        <v>21.01</v>
      </c>
      <c r="G129" s="287"/>
      <c r="H129" s="287"/>
      <c r="J129" s="287"/>
    </row>
    <row r="132" spans="3:27" x14ac:dyDescent="0.3">
      <c r="I132" s="334"/>
    </row>
    <row r="133" spans="3:27" x14ac:dyDescent="0.3">
      <c r="C133" s="333"/>
      <c r="D133" s="334" t="s">
        <v>287</v>
      </c>
      <c r="E133" s="334"/>
      <c r="F133" s="334"/>
      <c r="G133" s="334"/>
      <c r="H133" s="334"/>
      <c r="I133" s="334"/>
      <c r="J133" s="334"/>
      <c r="K133" s="334"/>
      <c r="L133" s="334"/>
      <c r="M133" s="334"/>
      <c r="N133" s="334"/>
      <c r="O133" s="334"/>
      <c r="P133" s="334"/>
      <c r="Q133" s="334"/>
      <c r="R133" s="334"/>
      <c r="S133" s="334"/>
      <c r="T133" s="334"/>
      <c r="U133" s="334"/>
      <c r="V133" s="334"/>
      <c r="W133" s="334"/>
      <c r="X133" s="334"/>
      <c r="Y133" s="334"/>
      <c r="Z133" s="334"/>
      <c r="AA133" s="334"/>
    </row>
    <row r="134" spans="3:27" x14ac:dyDescent="0.3">
      <c r="C134" s="333" t="s">
        <v>288</v>
      </c>
      <c r="D134" s="334" t="s">
        <v>289</v>
      </c>
      <c r="E134" s="334"/>
      <c r="F134" s="334"/>
      <c r="G134" s="334"/>
      <c r="H134" s="334"/>
      <c r="I134" s="334"/>
      <c r="J134" s="334"/>
      <c r="K134" s="334"/>
      <c r="L134" s="334"/>
      <c r="M134" s="334"/>
      <c r="N134" s="334"/>
      <c r="O134" s="334"/>
      <c r="P134" s="334"/>
      <c r="Q134" s="334"/>
      <c r="R134" s="334"/>
      <c r="S134" s="334"/>
      <c r="T134" s="334"/>
      <c r="U134" s="334"/>
      <c r="V134" s="334"/>
      <c r="W134" s="334"/>
      <c r="X134" s="334"/>
      <c r="Y134" s="334"/>
      <c r="Z134" s="334"/>
      <c r="AA134" s="334"/>
    </row>
    <row r="135" spans="3:27" x14ac:dyDescent="0.3">
      <c r="C135" s="333" t="s">
        <v>290</v>
      </c>
      <c r="D135" s="334" t="s">
        <v>289</v>
      </c>
      <c r="E135" s="334"/>
      <c r="F135" s="334"/>
      <c r="G135" s="334"/>
      <c r="H135" s="334"/>
      <c r="I135" s="334"/>
      <c r="J135" s="334"/>
      <c r="K135" s="334"/>
      <c r="L135" s="334"/>
      <c r="M135" s="334"/>
      <c r="N135" s="334"/>
      <c r="O135" s="334"/>
      <c r="P135" s="334"/>
      <c r="Q135" s="334"/>
      <c r="R135" s="334"/>
      <c r="S135" s="334"/>
      <c r="T135" s="334"/>
      <c r="U135" s="334"/>
      <c r="V135" s="334"/>
      <c r="W135" s="334"/>
      <c r="X135" s="334"/>
      <c r="Y135" s="334"/>
      <c r="Z135" s="334"/>
      <c r="AA135" s="334"/>
    </row>
    <row r="136" spans="3:27" x14ac:dyDescent="0.3">
      <c r="C136" s="333" t="s">
        <v>291</v>
      </c>
      <c r="D136" s="334" t="s">
        <v>292</v>
      </c>
      <c r="E136" s="334"/>
      <c r="F136" s="334"/>
      <c r="G136" s="334"/>
      <c r="H136" s="334"/>
      <c r="I136" s="334"/>
      <c r="J136" s="334"/>
      <c r="K136" s="334"/>
      <c r="L136" s="334"/>
      <c r="M136" s="334"/>
      <c r="N136" s="334"/>
      <c r="O136" s="334"/>
      <c r="P136" s="334"/>
      <c r="Q136" s="334"/>
      <c r="R136" s="334"/>
      <c r="S136" s="334"/>
      <c r="T136" s="334"/>
      <c r="U136" s="334"/>
      <c r="V136" s="334"/>
      <c r="W136" s="334"/>
      <c r="X136" s="334"/>
      <c r="Y136" s="334"/>
      <c r="Z136" s="334"/>
      <c r="AA136" s="334"/>
    </row>
    <row r="137" spans="3:27" x14ac:dyDescent="0.3">
      <c r="C137" s="334"/>
      <c r="D137" s="334"/>
      <c r="E137" s="334"/>
      <c r="F137" s="334"/>
      <c r="G137" s="334"/>
      <c r="H137" s="334"/>
      <c r="I137" s="334"/>
      <c r="J137" s="334"/>
      <c r="K137" s="334"/>
      <c r="L137" s="334"/>
      <c r="M137" s="334"/>
      <c r="N137" s="334"/>
      <c r="O137" s="334"/>
      <c r="P137" s="334"/>
      <c r="Q137" s="334"/>
      <c r="R137" s="334"/>
      <c r="S137" s="334"/>
      <c r="T137" s="334"/>
      <c r="U137" s="334"/>
      <c r="V137" s="334"/>
      <c r="W137" s="334"/>
      <c r="X137" s="334"/>
      <c r="Y137" s="334"/>
      <c r="Z137" s="334"/>
      <c r="AA137" s="334"/>
    </row>
    <row r="138" spans="3:27" x14ac:dyDescent="0.3">
      <c r="C138" s="334"/>
      <c r="D138" s="334"/>
      <c r="E138" s="334"/>
      <c r="F138" s="334"/>
      <c r="G138" s="334"/>
      <c r="H138" s="334"/>
      <c r="I138" s="334"/>
      <c r="J138" s="334"/>
      <c r="K138" s="334"/>
      <c r="L138" s="334"/>
      <c r="M138" s="334"/>
      <c r="N138" s="334"/>
      <c r="O138" s="334"/>
      <c r="P138" s="334"/>
      <c r="Q138" s="334"/>
      <c r="R138" s="334"/>
      <c r="S138" s="334"/>
      <c r="T138" s="334"/>
      <c r="U138" s="334"/>
      <c r="V138" s="334"/>
      <c r="W138" s="334"/>
      <c r="X138" s="334"/>
      <c r="Y138" s="334"/>
      <c r="Z138" s="334"/>
      <c r="AA138" s="334"/>
    </row>
    <row r="139" spans="3:27" x14ac:dyDescent="0.3">
      <c r="C139" s="334"/>
      <c r="D139" s="334"/>
      <c r="E139" s="334"/>
      <c r="F139" s="334"/>
      <c r="G139" s="334"/>
      <c r="H139" s="334"/>
      <c r="I139" s="334"/>
      <c r="J139" s="334"/>
      <c r="K139" s="334"/>
      <c r="L139" s="334"/>
      <c r="M139" s="334"/>
      <c r="N139" s="334"/>
      <c r="O139" s="334"/>
      <c r="P139" s="334"/>
      <c r="Q139" s="334"/>
      <c r="R139" s="334"/>
      <c r="S139" s="334"/>
      <c r="T139" s="334"/>
      <c r="U139" s="334"/>
      <c r="V139" s="334"/>
      <c r="W139" s="334"/>
      <c r="X139" s="334"/>
      <c r="Y139" s="334"/>
      <c r="Z139" s="334"/>
      <c r="AA139" s="334"/>
    </row>
    <row r="140" spans="3:27" x14ac:dyDescent="0.3">
      <c r="C140" s="333"/>
      <c r="D140" s="334" t="s">
        <v>293</v>
      </c>
      <c r="E140" s="334"/>
      <c r="F140" s="334"/>
      <c r="G140" s="334"/>
      <c r="H140" s="334"/>
      <c r="I140" s="334"/>
      <c r="J140" s="334"/>
      <c r="K140" s="334"/>
      <c r="L140" s="334"/>
      <c r="M140" s="334"/>
      <c r="N140" s="334"/>
      <c r="O140" s="334"/>
      <c r="P140" s="334"/>
      <c r="Q140" s="334"/>
      <c r="R140" s="334"/>
      <c r="S140" s="334"/>
      <c r="T140" s="334"/>
      <c r="U140" s="334"/>
      <c r="V140" s="334"/>
      <c r="W140" s="334"/>
      <c r="X140" s="334"/>
      <c r="Y140" s="334"/>
      <c r="Z140" s="334"/>
      <c r="AA140" s="334"/>
    </row>
    <row r="141" spans="3:27" x14ac:dyDescent="0.3">
      <c r="C141" s="333"/>
      <c r="D141" s="334"/>
      <c r="E141" s="334"/>
      <c r="F141" s="334"/>
      <c r="G141" s="334"/>
      <c r="H141" s="334"/>
      <c r="I141" s="334"/>
      <c r="J141" s="334"/>
      <c r="K141" s="334"/>
      <c r="L141" s="334"/>
      <c r="M141" s="334"/>
      <c r="N141" s="334"/>
      <c r="O141" s="334"/>
      <c r="P141" s="334"/>
      <c r="Q141" s="334"/>
      <c r="R141" s="334"/>
      <c r="S141" s="334"/>
      <c r="T141" s="334"/>
      <c r="U141" s="334"/>
      <c r="V141" s="334"/>
      <c r="W141" s="334"/>
      <c r="X141" s="334"/>
      <c r="Y141" s="334"/>
      <c r="Z141" s="334"/>
      <c r="AA141" s="334"/>
    </row>
    <row r="142" spans="3:27" x14ac:dyDescent="0.3">
      <c r="C142" s="333"/>
      <c r="D142" s="334"/>
      <c r="E142" s="334"/>
      <c r="F142" s="334"/>
      <c r="G142" s="334"/>
      <c r="H142" s="334"/>
      <c r="I142" s="334"/>
      <c r="J142" s="334"/>
      <c r="K142" s="334"/>
      <c r="L142" s="334"/>
      <c r="M142" s="334"/>
      <c r="N142" s="335"/>
      <c r="O142" s="335"/>
      <c r="P142" s="335"/>
      <c r="Q142" s="335"/>
      <c r="R142" s="334"/>
      <c r="S142" s="334"/>
      <c r="T142" s="334"/>
      <c r="U142" s="334"/>
      <c r="V142" s="334"/>
      <c r="W142" s="334"/>
      <c r="X142" s="334"/>
      <c r="Y142" s="334"/>
      <c r="Z142" s="334"/>
      <c r="AA142" s="334"/>
    </row>
    <row r="143" spans="3:27" x14ac:dyDescent="0.3">
      <c r="C143" s="333"/>
      <c r="D143" s="334"/>
      <c r="E143" s="334"/>
      <c r="F143" s="334"/>
      <c r="G143" s="334"/>
      <c r="H143" s="334"/>
      <c r="I143" s="334"/>
      <c r="J143" s="334"/>
      <c r="K143" s="334"/>
      <c r="L143" s="334"/>
      <c r="M143" s="334"/>
      <c r="N143" s="334"/>
      <c r="O143" s="334"/>
      <c r="P143" s="334"/>
      <c r="Q143" s="334"/>
      <c r="R143" s="334"/>
      <c r="S143" s="334"/>
      <c r="T143" s="334"/>
      <c r="U143" s="334"/>
      <c r="V143" s="334"/>
      <c r="W143" s="334"/>
      <c r="X143" s="334"/>
      <c r="Y143" s="334"/>
      <c r="Z143" s="334"/>
      <c r="AA143" s="334"/>
    </row>
    <row r="144" spans="3:27" x14ac:dyDescent="0.3">
      <c r="C144" s="333"/>
      <c r="D144" s="334" t="s">
        <v>315</v>
      </c>
      <c r="E144" s="334"/>
      <c r="F144" s="334"/>
      <c r="G144" s="334"/>
      <c r="H144" s="334"/>
      <c r="I144" s="334"/>
      <c r="J144" s="334" t="s">
        <v>313</v>
      </c>
      <c r="K144" s="334"/>
      <c r="L144" s="334"/>
      <c r="M144" s="334"/>
      <c r="N144" s="335"/>
      <c r="O144" s="334"/>
      <c r="P144" s="334"/>
      <c r="Q144" s="334"/>
      <c r="R144" s="334"/>
      <c r="S144" s="334"/>
      <c r="T144" s="334"/>
      <c r="U144" s="334"/>
      <c r="V144" s="334"/>
      <c r="W144" s="334"/>
      <c r="X144" s="334"/>
      <c r="Y144" s="334"/>
      <c r="Z144" s="334"/>
      <c r="AA144" s="334"/>
    </row>
    <row r="145" spans="3:27" x14ac:dyDescent="0.3">
      <c r="C145" s="336" t="s">
        <v>294</v>
      </c>
      <c r="D145" s="334" t="s">
        <v>314</v>
      </c>
      <c r="E145" s="334"/>
      <c r="F145" s="334"/>
      <c r="G145" s="334"/>
      <c r="H145" s="334"/>
      <c r="I145" s="334"/>
      <c r="J145" s="334" t="s">
        <v>314</v>
      </c>
      <c r="K145" s="334"/>
      <c r="L145" s="334"/>
      <c r="M145" s="334"/>
      <c r="N145" s="334"/>
      <c r="O145" s="334"/>
      <c r="P145" s="334"/>
      <c r="Q145" s="334"/>
      <c r="R145" s="334"/>
      <c r="S145" s="334"/>
      <c r="T145" s="334"/>
      <c r="U145" s="334"/>
      <c r="V145" s="334"/>
      <c r="W145" s="334"/>
      <c r="X145" s="334"/>
      <c r="Y145" s="334"/>
      <c r="Z145" s="334"/>
      <c r="AA145" s="334"/>
    </row>
    <row r="146" spans="3:27" x14ac:dyDescent="0.3">
      <c r="C146" s="333" t="s">
        <v>295</v>
      </c>
      <c r="D146" s="334" t="s">
        <v>296</v>
      </c>
      <c r="E146" s="334"/>
      <c r="F146" s="334"/>
      <c r="G146" s="334"/>
      <c r="H146" s="334"/>
      <c r="I146" s="334"/>
      <c r="J146" s="334"/>
      <c r="K146" s="334"/>
      <c r="L146" s="334"/>
      <c r="M146" s="334"/>
      <c r="N146" s="334"/>
      <c r="O146" s="334"/>
      <c r="P146" s="334"/>
      <c r="Q146" s="334"/>
      <c r="R146" s="334"/>
      <c r="S146" s="334"/>
      <c r="T146" s="334"/>
      <c r="U146" s="334"/>
      <c r="V146" s="334"/>
      <c r="W146" s="334"/>
      <c r="X146" s="334"/>
      <c r="Y146" s="334"/>
      <c r="Z146" s="334"/>
      <c r="AA146" s="334"/>
    </row>
    <row r="147" spans="3:27" x14ac:dyDescent="0.3">
      <c r="C147" s="334"/>
      <c r="D147" s="334"/>
      <c r="E147" s="334"/>
      <c r="F147" s="334"/>
      <c r="G147" s="334"/>
      <c r="H147" s="334"/>
      <c r="I147" s="334"/>
      <c r="J147" s="334"/>
      <c r="K147" s="334"/>
      <c r="L147" s="334"/>
      <c r="M147" s="334"/>
      <c r="N147" s="334"/>
      <c r="O147" s="334"/>
      <c r="P147" s="334"/>
      <c r="Q147" s="334"/>
      <c r="R147" s="334"/>
      <c r="S147" s="334"/>
      <c r="T147" s="334"/>
      <c r="U147" s="334"/>
      <c r="V147" s="334"/>
      <c r="W147" s="334"/>
      <c r="X147" s="334"/>
      <c r="Y147" s="334"/>
      <c r="Z147" s="334"/>
      <c r="AA147" s="334"/>
    </row>
    <row r="148" spans="3:27" x14ac:dyDescent="0.3">
      <c r="C148" s="334"/>
      <c r="D148" s="334"/>
      <c r="E148" s="334"/>
      <c r="F148" s="334"/>
      <c r="G148" s="334"/>
      <c r="H148" s="334"/>
      <c r="I148" s="334"/>
      <c r="J148" s="334"/>
      <c r="K148" s="334"/>
      <c r="L148" s="334"/>
      <c r="M148" s="334"/>
      <c r="N148" s="334"/>
      <c r="O148" s="334"/>
      <c r="P148" s="334"/>
      <c r="Q148" s="334"/>
      <c r="R148" s="334"/>
      <c r="S148" s="334"/>
      <c r="T148" s="334"/>
      <c r="U148" s="334"/>
      <c r="V148" s="334"/>
      <c r="W148" s="334"/>
      <c r="X148" s="334"/>
      <c r="Y148" s="334"/>
      <c r="Z148" s="334"/>
      <c r="AA148" s="334"/>
    </row>
    <row r="149" spans="3:27" x14ac:dyDescent="0.3">
      <c r="C149" s="333"/>
      <c r="D149" s="334" t="s">
        <v>297</v>
      </c>
      <c r="E149" s="334"/>
      <c r="F149" s="334"/>
      <c r="G149" s="334"/>
      <c r="H149" s="334"/>
      <c r="I149" s="334"/>
      <c r="J149" s="334"/>
      <c r="K149" s="334"/>
      <c r="L149" s="334"/>
      <c r="M149" s="334"/>
      <c r="N149" s="334"/>
      <c r="O149" s="334"/>
      <c r="P149" s="334"/>
      <c r="Q149" s="334"/>
      <c r="R149" s="334"/>
      <c r="S149" s="334"/>
      <c r="T149" s="334"/>
      <c r="U149" s="334"/>
      <c r="V149" s="334"/>
      <c r="W149" s="334"/>
      <c r="X149" s="334"/>
      <c r="Y149" s="334"/>
      <c r="Z149" s="334"/>
      <c r="AA149" s="334"/>
    </row>
    <row r="150" spans="3:27" x14ac:dyDescent="0.3">
      <c r="C150" s="333"/>
      <c r="D150" s="334"/>
      <c r="E150" s="334"/>
      <c r="F150" s="334"/>
      <c r="G150" s="334"/>
      <c r="H150" s="334"/>
      <c r="I150" s="334"/>
      <c r="J150" s="334"/>
      <c r="K150" s="334"/>
      <c r="L150" s="334"/>
      <c r="M150" s="334"/>
      <c r="N150" s="334"/>
      <c r="O150" s="334"/>
      <c r="P150" s="334"/>
      <c r="Q150" s="334"/>
      <c r="R150" s="334"/>
      <c r="S150" s="334"/>
      <c r="T150" s="334"/>
      <c r="U150" s="334"/>
      <c r="V150" s="334"/>
      <c r="W150" s="334"/>
      <c r="X150" s="334"/>
      <c r="Y150" s="334"/>
      <c r="Z150" s="334"/>
      <c r="AA150" s="334"/>
    </row>
    <row r="151" spans="3:27" x14ac:dyDescent="0.3">
      <c r="C151" s="333"/>
      <c r="D151" s="334" t="s">
        <v>298</v>
      </c>
      <c r="E151" s="334"/>
      <c r="F151" s="334"/>
      <c r="G151" s="334"/>
      <c r="H151" s="334"/>
      <c r="I151" s="334"/>
      <c r="J151" s="334"/>
      <c r="K151" s="334"/>
      <c r="L151" s="334"/>
      <c r="M151" s="334"/>
      <c r="N151" s="334"/>
      <c r="O151" s="334"/>
      <c r="P151" s="334"/>
      <c r="Q151" s="334"/>
      <c r="R151" s="334"/>
      <c r="S151" s="334"/>
      <c r="T151" s="334"/>
      <c r="U151" s="334"/>
      <c r="V151" s="334"/>
      <c r="W151" s="334"/>
      <c r="X151" s="334"/>
      <c r="Y151" s="334"/>
      <c r="Z151" s="334"/>
      <c r="AA151" s="334"/>
    </row>
    <row r="152" spans="3:27" x14ac:dyDescent="0.3">
      <c r="C152" s="333"/>
      <c r="D152" s="334"/>
      <c r="E152" s="334"/>
      <c r="F152" s="334"/>
      <c r="G152" s="334"/>
      <c r="H152" s="334"/>
      <c r="I152" s="334"/>
      <c r="J152" s="334"/>
      <c r="K152" s="334"/>
      <c r="L152" s="334"/>
      <c r="M152" s="334"/>
      <c r="N152" s="334"/>
      <c r="O152" s="334"/>
      <c r="P152" s="334"/>
      <c r="Q152" s="334"/>
      <c r="R152" s="334"/>
      <c r="S152" s="334"/>
      <c r="T152" s="334"/>
      <c r="U152" s="334"/>
      <c r="V152" s="334"/>
      <c r="W152" s="334"/>
      <c r="X152" s="334"/>
      <c r="Y152" s="334"/>
      <c r="Z152" s="334"/>
      <c r="AA152" s="334"/>
    </row>
    <row r="153" spans="3:27" x14ac:dyDescent="0.3">
      <c r="C153" s="333" t="s">
        <v>299</v>
      </c>
      <c r="D153" s="334" t="s">
        <v>300</v>
      </c>
      <c r="E153" s="334"/>
      <c r="F153" s="334"/>
      <c r="G153" s="334"/>
      <c r="H153" s="334"/>
      <c r="I153" s="334"/>
      <c r="J153" s="334"/>
      <c r="K153" s="334"/>
      <c r="L153" s="334"/>
      <c r="M153" s="334"/>
      <c r="N153" s="334"/>
      <c r="O153" s="334"/>
      <c r="P153" s="334"/>
      <c r="Q153" s="334"/>
      <c r="R153" s="334"/>
      <c r="S153" s="334"/>
      <c r="T153" s="334"/>
      <c r="U153" s="334"/>
      <c r="V153" s="334"/>
      <c r="W153" s="334"/>
      <c r="X153" s="334"/>
      <c r="Y153" s="334"/>
      <c r="Z153" s="334"/>
      <c r="AA153" s="334"/>
    </row>
    <row r="154" spans="3:27" x14ac:dyDescent="0.3">
      <c r="C154" s="333"/>
      <c r="D154" s="334" t="s">
        <v>301</v>
      </c>
      <c r="E154" s="334"/>
      <c r="F154" s="334"/>
      <c r="G154" s="334"/>
      <c r="H154" s="334"/>
      <c r="I154" s="334"/>
      <c r="J154" s="334"/>
      <c r="K154" s="334"/>
      <c r="L154" s="334"/>
      <c r="M154" s="334"/>
      <c r="N154" s="334"/>
      <c r="O154" s="334"/>
      <c r="P154" s="334"/>
      <c r="Q154" s="334"/>
      <c r="R154" s="334"/>
      <c r="S154" s="334"/>
      <c r="T154" s="334"/>
      <c r="U154" s="334"/>
      <c r="V154" s="334"/>
      <c r="W154" s="334"/>
      <c r="X154" s="334"/>
      <c r="Y154" s="334"/>
      <c r="Z154" s="334"/>
      <c r="AA154" s="334"/>
    </row>
    <row r="155" spans="3:27" x14ac:dyDescent="0.3">
      <c r="C155" s="333"/>
      <c r="D155" s="334" t="s">
        <v>302</v>
      </c>
      <c r="E155" s="334"/>
      <c r="F155" s="334"/>
      <c r="G155" s="334"/>
      <c r="H155" s="334"/>
      <c r="I155" s="334"/>
      <c r="J155" s="334"/>
      <c r="K155" s="334"/>
      <c r="L155" s="334"/>
      <c r="M155" s="334"/>
      <c r="N155" s="334"/>
      <c r="O155" s="334"/>
      <c r="P155" s="334"/>
      <c r="Q155" s="334"/>
      <c r="R155" s="334"/>
      <c r="S155" s="334"/>
      <c r="T155" s="334"/>
      <c r="U155" s="334"/>
      <c r="V155" s="334"/>
      <c r="W155" s="334"/>
      <c r="X155" s="334"/>
      <c r="Y155" s="334"/>
      <c r="Z155" s="334"/>
      <c r="AA155" s="334"/>
    </row>
    <row r="156" spans="3:27" x14ac:dyDescent="0.3">
      <c r="C156" s="333" t="s">
        <v>303</v>
      </c>
      <c r="D156" s="334" t="s">
        <v>304</v>
      </c>
      <c r="E156" s="334"/>
      <c r="F156" s="334"/>
      <c r="G156" s="334"/>
      <c r="H156" s="334"/>
      <c r="I156" s="334"/>
      <c r="J156" s="334"/>
      <c r="K156" s="334"/>
      <c r="L156" s="334"/>
      <c r="M156" s="334"/>
      <c r="N156" s="334"/>
      <c r="O156" s="334"/>
      <c r="P156" s="334"/>
      <c r="Q156" s="334"/>
      <c r="R156" s="334"/>
      <c r="S156" s="334"/>
      <c r="T156" s="334"/>
      <c r="U156" s="334"/>
      <c r="V156" s="334"/>
      <c r="W156" s="334"/>
      <c r="X156" s="334"/>
      <c r="Y156" s="334"/>
      <c r="Z156" s="334"/>
      <c r="AA156" s="334"/>
    </row>
    <row r="157" spans="3:27" x14ac:dyDescent="0.3">
      <c r="C157" s="333"/>
      <c r="D157" s="334" t="s">
        <v>305</v>
      </c>
      <c r="E157" s="334"/>
      <c r="F157" s="334"/>
      <c r="G157" s="334"/>
      <c r="H157" s="334"/>
      <c r="I157" s="334"/>
      <c r="J157" s="334"/>
      <c r="K157" s="334"/>
      <c r="L157" s="334"/>
      <c r="M157" s="334"/>
      <c r="N157" s="334"/>
      <c r="O157" s="334"/>
      <c r="P157" s="334"/>
      <c r="Q157" s="334"/>
      <c r="R157" s="334"/>
      <c r="S157" s="334"/>
      <c r="T157" s="334"/>
      <c r="U157" s="334"/>
      <c r="V157" s="334"/>
      <c r="W157" s="334"/>
      <c r="X157" s="334"/>
      <c r="Y157" s="334"/>
      <c r="Z157" s="334"/>
      <c r="AA157" s="334"/>
    </row>
    <row r="158" spans="3:27" x14ac:dyDescent="0.3">
      <c r="C158" s="333"/>
      <c r="D158" s="334" t="s">
        <v>306</v>
      </c>
      <c r="E158" s="334"/>
      <c r="F158" s="334"/>
      <c r="G158" s="334"/>
      <c r="H158" s="334"/>
      <c r="I158" s="334"/>
      <c r="J158" s="334"/>
      <c r="K158" s="334"/>
      <c r="L158" s="334"/>
      <c r="M158" s="334"/>
      <c r="N158" s="334"/>
      <c r="O158" s="334"/>
      <c r="P158" s="334"/>
      <c r="Q158" s="334"/>
      <c r="R158" s="334"/>
      <c r="S158" s="334"/>
      <c r="T158" s="334"/>
      <c r="U158" s="334"/>
      <c r="V158" s="334"/>
      <c r="W158" s="334"/>
      <c r="X158" s="334"/>
      <c r="Y158" s="334"/>
      <c r="Z158" s="334"/>
      <c r="AA158" s="334"/>
    </row>
    <row r="159" spans="3:27" x14ac:dyDescent="0.3">
      <c r="C159" s="334"/>
      <c r="D159" s="334"/>
      <c r="E159" s="334"/>
      <c r="F159" s="334"/>
      <c r="G159" s="334"/>
      <c r="H159" s="334"/>
      <c r="I159" s="334"/>
      <c r="J159" s="334"/>
      <c r="K159" s="334"/>
      <c r="L159" s="334"/>
      <c r="M159" s="334"/>
      <c r="N159" s="334"/>
      <c r="O159" s="334"/>
      <c r="P159" s="334"/>
      <c r="Q159" s="334"/>
      <c r="R159" s="334"/>
      <c r="S159" s="334"/>
      <c r="T159" s="334"/>
      <c r="U159" s="334"/>
      <c r="V159" s="334"/>
      <c r="W159" s="334"/>
      <c r="X159" s="334"/>
      <c r="Y159" s="334"/>
      <c r="Z159" s="334"/>
      <c r="AA159" s="334"/>
    </row>
    <row r="160" spans="3:27" ht="18" x14ac:dyDescent="0.35">
      <c r="C160" s="334"/>
      <c r="D160" s="337" t="s">
        <v>307</v>
      </c>
      <c r="E160" s="334"/>
      <c r="F160" s="334"/>
      <c r="G160" s="334"/>
      <c r="H160" s="334"/>
      <c r="I160" s="334"/>
      <c r="J160" s="334"/>
      <c r="K160" s="334"/>
      <c r="L160" s="334"/>
      <c r="M160" s="334"/>
      <c r="N160" s="334"/>
      <c r="O160" s="334"/>
      <c r="P160" s="334"/>
      <c r="Q160" s="334"/>
      <c r="R160" s="334"/>
      <c r="S160" s="334"/>
      <c r="T160" s="334"/>
      <c r="U160" s="334"/>
      <c r="V160" s="334"/>
      <c r="W160" s="334"/>
      <c r="X160" s="334"/>
      <c r="Y160" s="334"/>
      <c r="Z160" s="334"/>
      <c r="AA160" s="334"/>
    </row>
    <row r="161" spans="3:27" x14ac:dyDescent="0.3">
      <c r="C161" s="334"/>
      <c r="D161" s="334" t="s">
        <v>308</v>
      </c>
      <c r="E161" s="334"/>
      <c r="F161" s="334"/>
      <c r="G161" s="334"/>
      <c r="H161" s="334"/>
      <c r="I161" s="334"/>
      <c r="J161" s="334"/>
      <c r="K161" s="334"/>
      <c r="L161" s="334"/>
      <c r="M161" s="334"/>
      <c r="N161" s="334"/>
      <c r="O161" s="334"/>
      <c r="P161" s="334"/>
      <c r="Q161" s="334"/>
      <c r="R161" s="334"/>
      <c r="S161" s="334"/>
      <c r="T161" s="334"/>
      <c r="U161" s="334"/>
      <c r="V161" s="334"/>
      <c r="W161" s="334"/>
      <c r="X161" s="334"/>
      <c r="Y161" s="334"/>
      <c r="Z161" s="334"/>
      <c r="AA161" s="334"/>
    </row>
    <row r="162" spans="3:27" x14ac:dyDescent="0.3">
      <c r="C162" s="334"/>
      <c r="D162" s="334" t="s">
        <v>309</v>
      </c>
      <c r="E162" s="334"/>
      <c r="F162" s="334"/>
      <c r="G162" s="334"/>
      <c r="H162" s="334"/>
      <c r="I162" s="334"/>
      <c r="J162" s="334"/>
      <c r="K162" s="334"/>
      <c r="L162" s="334"/>
      <c r="M162" s="334"/>
      <c r="N162" s="334"/>
      <c r="O162" s="334"/>
      <c r="P162" s="334"/>
      <c r="Q162" s="334"/>
      <c r="R162" s="334"/>
      <c r="S162" s="334"/>
      <c r="T162" s="334"/>
      <c r="U162" s="334"/>
      <c r="V162" s="334"/>
      <c r="W162" s="334"/>
      <c r="X162" s="334"/>
      <c r="Y162" s="334"/>
      <c r="Z162" s="334"/>
      <c r="AA162" s="334"/>
    </row>
    <row r="163" spans="3:27" x14ac:dyDescent="0.3">
      <c r="C163" s="334"/>
      <c r="D163" s="334" t="s">
        <v>310</v>
      </c>
      <c r="E163" s="334"/>
      <c r="F163" s="334"/>
      <c r="G163" s="334"/>
      <c r="H163" s="334"/>
      <c r="I163" s="334"/>
      <c r="J163" s="334"/>
      <c r="K163" s="334"/>
      <c r="L163" s="334"/>
      <c r="M163" s="334"/>
      <c r="N163" s="334"/>
      <c r="O163" s="334"/>
      <c r="P163" s="334"/>
      <c r="Q163" s="334"/>
      <c r="R163" s="334"/>
      <c r="S163" s="334"/>
      <c r="T163" s="334"/>
      <c r="U163" s="334"/>
      <c r="V163" s="334"/>
      <c r="W163" s="334"/>
      <c r="X163" s="334"/>
      <c r="Y163" s="334"/>
      <c r="Z163" s="334"/>
      <c r="AA163" s="334"/>
    </row>
    <row r="164" spans="3:27" x14ac:dyDescent="0.3">
      <c r="C164" s="334"/>
      <c r="D164" s="334" t="s">
        <v>311</v>
      </c>
      <c r="E164" s="334"/>
      <c r="F164" s="334"/>
      <c r="G164" s="334"/>
      <c r="H164" s="334"/>
      <c r="I164" s="334"/>
      <c r="J164" s="334"/>
      <c r="K164" s="334"/>
      <c r="L164" s="334"/>
      <c r="M164" s="334"/>
      <c r="N164" s="334"/>
      <c r="O164" s="334"/>
      <c r="P164" s="334"/>
      <c r="Q164" s="334"/>
      <c r="R164" s="334"/>
      <c r="S164" s="334"/>
      <c r="T164" s="334"/>
      <c r="U164" s="334"/>
      <c r="V164" s="334"/>
      <c r="W164" s="334"/>
      <c r="X164" s="334"/>
      <c r="Y164" s="334"/>
      <c r="Z164" s="334"/>
      <c r="AA164" s="334"/>
    </row>
    <row r="165" spans="3:27" x14ac:dyDescent="0.3">
      <c r="C165" s="334"/>
      <c r="D165" s="334"/>
      <c r="E165" s="334"/>
      <c r="F165" s="334"/>
      <c r="G165" s="334"/>
      <c r="H165" s="334"/>
      <c r="I165" s="334"/>
      <c r="J165" s="334"/>
      <c r="K165" s="334"/>
      <c r="L165" s="334"/>
      <c r="M165" s="334"/>
      <c r="N165" s="334"/>
      <c r="O165" s="334"/>
      <c r="P165" s="334"/>
      <c r="Q165" s="334"/>
      <c r="R165" s="334"/>
      <c r="S165" s="334"/>
      <c r="T165" s="334"/>
      <c r="U165" s="334"/>
      <c r="V165" s="334"/>
      <c r="W165" s="334"/>
      <c r="X165" s="334"/>
      <c r="Y165" s="334"/>
      <c r="Z165" s="334"/>
      <c r="AA165" s="334"/>
    </row>
    <row r="166" spans="3:27" x14ac:dyDescent="0.3">
      <c r="C166" s="334"/>
      <c r="D166" s="334"/>
      <c r="E166" s="334"/>
      <c r="F166" s="334"/>
      <c r="G166" s="334"/>
      <c r="H166" s="334"/>
      <c r="I166" s="334"/>
      <c r="J166" s="334"/>
      <c r="K166" s="334"/>
      <c r="L166" s="334"/>
      <c r="M166" s="334"/>
      <c r="N166" s="334"/>
      <c r="O166" s="334"/>
      <c r="P166" s="334"/>
      <c r="Q166" s="334"/>
      <c r="R166" s="334"/>
      <c r="S166" s="334"/>
      <c r="T166" s="334"/>
      <c r="U166" s="334"/>
      <c r="V166" s="334"/>
      <c r="W166" s="334"/>
      <c r="X166" s="334"/>
      <c r="Y166" s="334"/>
      <c r="Z166" s="334"/>
      <c r="AA166" s="334"/>
    </row>
    <row r="167" spans="3:27" x14ac:dyDescent="0.3">
      <c r="C167" s="334"/>
      <c r="D167" s="334" t="s">
        <v>316</v>
      </c>
      <c r="E167" s="334"/>
      <c r="F167" s="334"/>
      <c r="G167" s="334" t="s">
        <v>319</v>
      </c>
      <c r="H167" s="334"/>
      <c r="I167" s="334"/>
      <c r="J167" s="334"/>
      <c r="K167" s="334"/>
      <c r="L167" s="334"/>
      <c r="M167" s="334"/>
      <c r="N167" s="334"/>
      <c r="O167" s="334"/>
      <c r="P167" s="334"/>
      <c r="Q167" s="334"/>
      <c r="R167" s="334"/>
      <c r="S167" s="334"/>
      <c r="T167" s="334"/>
      <c r="U167" s="334"/>
      <c r="V167" s="334"/>
      <c r="W167" s="334"/>
      <c r="X167" s="334"/>
      <c r="Y167" s="334"/>
      <c r="Z167" s="334"/>
      <c r="AA167" s="334"/>
    </row>
    <row r="168" spans="3:27" x14ac:dyDescent="0.3">
      <c r="C168" s="334"/>
      <c r="D168" s="334"/>
      <c r="E168" s="334"/>
      <c r="F168" s="334"/>
      <c r="G168" s="334"/>
      <c r="H168" s="334"/>
      <c r="I168" s="334"/>
      <c r="J168" s="334"/>
      <c r="K168" s="334"/>
      <c r="L168" s="334"/>
      <c r="M168" s="334"/>
      <c r="N168" s="334"/>
      <c r="O168" s="334"/>
      <c r="P168" s="334"/>
      <c r="Q168" s="334"/>
      <c r="R168" s="334"/>
      <c r="S168" s="334"/>
      <c r="T168" s="334"/>
      <c r="U168" s="334"/>
      <c r="V168" s="334"/>
      <c r="W168" s="334"/>
      <c r="X168" s="334"/>
      <c r="Y168" s="334"/>
      <c r="Z168" s="334"/>
      <c r="AA168" s="334"/>
    </row>
    <row r="169" spans="3:27" x14ac:dyDescent="0.3">
      <c r="C169" s="334"/>
      <c r="D169" s="334" t="s">
        <v>317</v>
      </c>
      <c r="E169" s="334"/>
      <c r="F169" s="334"/>
      <c r="G169" s="334"/>
      <c r="H169" s="334"/>
      <c r="I169" s="334"/>
      <c r="J169" s="334"/>
      <c r="K169" s="334"/>
      <c r="L169" s="334"/>
      <c r="M169" s="334"/>
      <c r="N169" s="334"/>
      <c r="O169" s="334"/>
      <c r="P169" s="334"/>
      <c r="Q169" s="334"/>
      <c r="R169" s="334"/>
      <c r="S169" s="334"/>
      <c r="T169" s="334"/>
      <c r="U169" s="334"/>
      <c r="V169" s="334"/>
      <c r="W169" s="334"/>
      <c r="X169" s="334"/>
      <c r="Y169" s="334"/>
      <c r="Z169" s="334"/>
      <c r="AA169" s="334"/>
    </row>
    <row r="170" spans="3:27" x14ac:dyDescent="0.3">
      <c r="C170" s="334"/>
      <c r="D170" s="334" t="s">
        <v>318</v>
      </c>
      <c r="E170" s="334"/>
      <c r="F170" s="334"/>
      <c r="G170" s="334"/>
      <c r="H170" s="334"/>
      <c r="J170" s="334"/>
      <c r="K170" s="334"/>
      <c r="L170" s="334"/>
      <c r="M170" s="334"/>
      <c r="N170" s="334"/>
      <c r="O170" s="334"/>
      <c r="P170" s="334"/>
      <c r="Q170" s="334"/>
      <c r="R170" s="334"/>
      <c r="S170" s="334"/>
      <c r="T170" s="334"/>
      <c r="U170" s="334"/>
      <c r="V170" s="334"/>
      <c r="W170" s="334"/>
      <c r="X170" s="334"/>
      <c r="Y170" s="334"/>
      <c r="Z170" s="334"/>
      <c r="AA170" s="334"/>
    </row>
  </sheetData>
  <mergeCells count="38">
    <mergeCell ref="D86:F86"/>
    <mergeCell ref="D87:E87"/>
    <mergeCell ref="C100:E100"/>
    <mergeCell ref="D106:E106"/>
    <mergeCell ref="L104:M104"/>
    <mergeCell ref="K106:M106"/>
    <mergeCell ref="K103:M103"/>
    <mergeCell ref="I87:L87"/>
    <mergeCell ref="D101:E101"/>
    <mergeCell ref="D102:E102"/>
    <mergeCell ref="D103:E103"/>
    <mergeCell ref="D104:E104"/>
    <mergeCell ref="D105:E105"/>
    <mergeCell ref="F99:G99"/>
    <mergeCell ref="H99:I99"/>
    <mergeCell ref="M128:O128"/>
    <mergeCell ref="G2:H2"/>
    <mergeCell ref="M124:N124"/>
    <mergeCell ref="M125:N125"/>
    <mergeCell ref="M126:N126"/>
    <mergeCell ref="M127:N127"/>
    <mergeCell ref="J85:L85"/>
    <mergeCell ref="I86:L86"/>
    <mergeCell ref="J89:M89"/>
    <mergeCell ref="K88:L88"/>
    <mergeCell ref="L100:M100"/>
    <mergeCell ref="L101:M101"/>
    <mergeCell ref="L102:M102"/>
    <mergeCell ref="O94:R94"/>
    <mergeCell ref="K112:L112"/>
    <mergeCell ref="O95:P95"/>
    <mergeCell ref="K113:L113"/>
    <mergeCell ref="K114:L114"/>
    <mergeCell ref="K115:L115"/>
    <mergeCell ref="K108:L108"/>
    <mergeCell ref="K109:L109"/>
    <mergeCell ref="K110:L110"/>
    <mergeCell ref="K111:L111"/>
  </mergeCells>
  <pageMargins left="0.7" right="0.7" top="0.75" bottom="0.75" header="0.3" footer="0.3"/>
  <pageSetup paperSize="9" scale="65" orientation="portrait" r:id="rId1"/>
  <ignoredErrors>
    <ignoredError sqref="V68 V18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9372-7CF0-479D-82E7-9A15BE436E24}">
  <sheetPr codeName="Sheet3"/>
  <dimension ref="B1:AB222"/>
  <sheetViews>
    <sheetView view="pageBreakPreview" topLeftCell="C1" zoomScaleNormal="100" zoomScaleSheetLayoutView="100" workbookViewId="0">
      <pane ySplit="1" topLeftCell="A103" activePane="bottomLeft" state="frozen"/>
      <selection pane="bottomLeft" activeCell="I146" sqref="I146"/>
    </sheetView>
  </sheetViews>
  <sheetFormatPr defaultRowHeight="14.4" x14ac:dyDescent="0.3"/>
  <cols>
    <col min="1" max="1" width="0.6640625" customWidth="1"/>
    <col min="2" max="2" width="7" customWidth="1"/>
    <col min="3" max="3" width="30" customWidth="1"/>
    <col min="4" max="4" width="6.109375" customWidth="1"/>
    <col min="5" max="5" width="4.77734375" customWidth="1"/>
    <col min="6" max="6" width="8.6640625" customWidth="1"/>
    <col min="7" max="7" width="4" customWidth="1"/>
    <col min="8" max="8" width="5.44140625" customWidth="1"/>
    <col min="9" max="9" width="6.77734375" customWidth="1"/>
    <col min="10" max="10" width="5" customWidth="1"/>
    <col min="11" max="11" width="6" customWidth="1"/>
    <col min="12" max="12" width="6.6640625" customWidth="1"/>
    <col min="13" max="13" width="7.33203125" customWidth="1"/>
    <col min="14" max="14" width="15.77734375" bestFit="1" customWidth="1"/>
    <col min="15" max="15" width="12.6640625" customWidth="1"/>
    <col min="16" max="16" width="9.21875" bestFit="1" customWidth="1"/>
    <col min="17" max="20" width="7.21875" customWidth="1"/>
    <col min="21" max="21" width="6.77734375" customWidth="1"/>
    <col min="22" max="22" width="5.77734375" customWidth="1"/>
    <col min="26" max="26" width="14.109375" customWidth="1"/>
    <col min="27" max="27" width="10.109375" customWidth="1"/>
  </cols>
  <sheetData>
    <row r="1" spans="2:27" ht="30" customHeight="1" x14ac:dyDescent="0.3">
      <c r="B1" s="162"/>
      <c r="C1" s="516" t="s">
        <v>214</v>
      </c>
      <c r="D1" s="883" t="s">
        <v>111</v>
      </c>
      <c r="E1" s="883"/>
      <c r="F1" s="491" t="s">
        <v>215</v>
      </c>
      <c r="G1" s="884" t="s">
        <v>216</v>
      </c>
      <c r="H1" s="884"/>
      <c r="I1" s="885" t="s">
        <v>217</v>
      </c>
      <c r="J1" s="885"/>
      <c r="K1" s="492" t="s">
        <v>218</v>
      </c>
      <c r="L1" s="493" t="s">
        <v>219</v>
      </c>
      <c r="M1" s="493" t="s">
        <v>220</v>
      </c>
      <c r="N1" s="494" t="s">
        <v>221</v>
      </c>
      <c r="O1" s="495" t="s">
        <v>222</v>
      </c>
      <c r="P1" s="495" t="s">
        <v>223</v>
      </c>
      <c r="Q1" s="496" t="s">
        <v>121</v>
      </c>
      <c r="R1" s="488" t="s">
        <v>264</v>
      </c>
      <c r="S1" s="274" t="s">
        <v>262</v>
      </c>
      <c r="T1" s="275" t="s">
        <v>265</v>
      </c>
      <c r="U1" s="103" t="s">
        <v>224</v>
      </c>
      <c r="V1" s="137" t="s">
        <v>225</v>
      </c>
      <c r="W1" s="90" t="s">
        <v>226</v>
      </c>
      <c r="X1" s="91"/>
    </row>
    <row r="2" spans="2:27" ht="22.8" x14ac:dyDescent="0.3">
      <c r="B2" s="169"/>
      <c r="C2" s="497" t="s">
        <v>227</v>
      </c>
      <c r="D2" s="886" t="s">
        <v>122</v>
      </c>
      <c r="E2" s="886"/>
      <c r="F2" s="887">
        <f ca="1">TODAY()</f>
        <v>46291</v>
      </c>
      <c r="G2" s="887"/>
      <c r="H2" s="498"/>
      <c r="I2" s="498"/>
      <c r="J2" s="498"/>
      <c r="K2" s="498"/>
      <c r="L2" s="498"/>
      <c r="M2" s="499"/>
      <c r="N2" s="500" t="s">
        <v>123</v>
      </c>
      <c r="O2" s="501">
        <v>1018</v>
      </c>
      <c r="P2" s="499"/>
      <c r="Q2" s="502"/>
      <c r="R2" s="489"/>
      <c r="S2" s="276"/>
      <c r="T2" s="277"/>
      <c r="U2" s="91"/>
      <c r="V2" s="91"/>
      <c r="W2" s="91"/>
      <c r="X2" s="91"/>
    </row>
    <row r="3" spans="2:27" ht="27" customHeight="1" x14ac:dyDescent="0.3">
      <c r="B3" s="216"/>
      <c r="C3" s="163" t="s">
        <v>214</v>
      </c>
      <c r="D3" s="877" t="s">
        <v>111</v>
      </c>
      <c r="E3" s="878"/>
      <c r="F3" s="164" t="s">
        <v>215</v>
      </c>
      <c r="G3" s="879" t="s">
        <v>216</v>
      </c>
      <c r="H3" s="880"/>
      <c r="I3" s="881" t="s">
        <v>217</v>
      </c>
      <c r="J3" s="882"/>
      <c r="K3" s="163" t="s">
        <v>218</v>
      </c>
      <c r="L3" s="165" t="s">
        <v>219</v>
      </c>
      <c r="M3" s="165" t="s">
        <v>220</v>
      </c>
      <c r="N3" s="166" t="s">
        <v>221</v>
      </c>
      <c r="O3" s="167" t="s">
        <v>222</v>
      </c>
      <c r="P3" s="217" t="s">
        <v>223</v>
      </c>
      <c r="Q3" s="93" t="s">
        <v>121</v>
      </c>
      <c r="R3" s="488" t="s">
        <v>264</v>
      </c>
      <c r="S3" s="274" t="s">
        <v>262</v>
      </c>
      <c r="T3" s="275" t="s">
        <v>265</v>
      </c>
      <c r="U3" s="98" t="s">
        <v>224</v>
      </c>
      <c r="V3" s="140" t="s">
        <v>225</v>
      </c>
      <c r="W3" s="141" t="s">
        <v>226</v>
      </c>
      <c r="X3" s="91"/>
    </row>
    <row r="4" spans="2:27" ht="16.2" x14ac:dyDescent="0.45">
      <c r="B4" s="770">
        <v>1</v>
      </c>
      <c r="C4" s="771" t="s">
        <v>18</v>
      </c>
      <c r="D4" s="772">
        <v>72</v>
      </c>
      <c r="E4" s="773" t="s">
        <v>228</v>
      </c>
      <c r="F4" s="774">
        <v>290</v>
      </c>
      <c r="G4" s="775">
        <v>4</v>
      </c>
      <c r="H4" s="776" t="s">
        <v>229</v>
      </c>
      <c r="I4" s="777"/>
      <c r="J4" s="778" t="s">
        <v>230</v>
      </c>
      <c r="K4" s="779"/>
      <c r="L4" s="780">
        <f>I4-K4</f>
        <v>0</v>
      </c>
      <c r="M4" s="781">
        <v>290</v>
      </c>
      <c r="N4" s="774">
        <f>L4*M4</f>
        <v>0</v>
      </c>
      <c r="O4" s="782"/>
      <c r="P4" s="783">
        <f>F4/D4*O4</f>
        <v>0</v>
      </c>
      <c r="Q4" s="781"/>
      <c r="R4" s="490">
        <f>M4*I4</f>
        <v>0</v>
      </c>
      <c r="S4" s="97">
        <f>M4*K4</f>
        <v>0</v>
      </c>
      <c r="T4" s="97">
        <f>M4*L4</f>
        <v>0</v>
      </c>
      <c r="U4" s="142"/>
      <c r="V4" s="795"/>
      <c r="W4" s="796">
        <f>F4/D4</f>
        <v>4.0277777777777777</v>
      </c>
      <c r="X4" s="91"/>
      <c r="Z4" s="503" t="s">
        <v>405</v>
      </c>
      <c r="AA4" s="503" t="s">
        <v>405</v>
      </c>
    </row>
    <row r="5" spans="2:27" ht="16.2" x14ac:dyDescent="0.45">
      <c r="B5" s="770">
        <v>2</v>
      </c>
      <c r="C5" s="784" t="s">
        <v>19</v>
      </c>
      <c r="D5" s="785">
        <v>72</v>
      </c>
      <c r="E5" s="773" t="s">
        <v>228</v>
      </c>
      <c r="F5" s="774">
        <v>293</v>
      </c>
      <c r="G5" s="775">
        <v>4</v>
      </c>
      <c r="H5" s="776" t="s">
        <v>229</v>
      </c>
      <c r="I5" s="777"/>
      <c r="J5" s="778" t="s">
        <v>230</v>
      </c>
      <c r="K5" s="779"/>
      <c r="L5" s="780">
        <f t="shared" ref="L5:L149" si="0">I5-K5</f>
        <v>0</v>
      </c>
      <c r="M5" s="781">
        <v>293</v>
      </c>
      <c r="N5" s="774">
        <f t="shared" ref="N5:N58" si="1">L5*M5</f>
        <v>0</v>
      </c>
      <c r="O5" s="786"/>
      <c r="P5" s="783">
        <f t="shared" ref="P5:P58" si="2">F5/D5*O5</f>
        <v>0</v>
      </c>
      <c r="Q5" s="781"/>
      <c r="R5" s="490">
        <f t="shared" ref="R5:R58" si="3">M5*I5</f>
        <v>0</v>
      </c>
      <c r="S5" s="97">
        <f t="shared" ref="S5:S58" si="4">M5*K5</f>
        <v>0</v>
      </c>
      <c r="T5" s="97">
        <f t="shared" ref="T5:T58" si="5">M5*L5</f>
        <v>0</v>
      </c>
      <c r="U5" s="142"/>
      <c r="V5" s="795"/>
      <c r="W5" s="796">
        <f>F5/D5</f>
        <v>4.0694444444444446</v>
      </c>
      <c r="X5" s="91"/>
    </row>
    <row r="6" spans="2:27" ht="16.2" x14ac:dyDescent="0.45">
      <c r="B6" s="770">
        <v>3</v>
      </c>
      <c r="C6" s="784" t="s">
        <v>20</v>
      </c>
      <c r="D6" s="772">
        <v>72</v>
      </c>
      <c r="E6" s="773" t="s">
        <v>228</v>
      </c>
      <c r="F6" s="774">
        <v>290</v>
      </c>
      <c r="G6" s="775">
        <v>4</v>
      </c>
      <c r="H6" s="776" t="s">
        <v>229</v>
      </c>
      <c r="I6" s="777"/>
      <c r="J6" s="778" t="s">
        <v>230</v>
      </c>
      <c r="K6" s="779"/>
      <c r="L6" s="780">
        <f t="shared" si="0"/>
        <v>0</v>
      </c>
      <c r="M6" s="781">
        <v>290</v>
      </c>
      <c r="N6" s="774">
        <f t="shared" si="1"/>
        <v>0</v>
      </c>
      <c r="O6" s="782"/>
      <c r="P6" s="783">
        <f t="shared" si="2"/>
        <v>0</v>
      </c>
      <c r="Q6" s="781"/>
      <c r="R6" s="490">
        <f t="shared" si="3"/>
        <v>0</v>
      </c>
      <c r="S6" s="97">
        <f t="shared" si="4"/>
        <v>0</v>
      </c>
      <c r="T6" s="97">
        <f t="shared" si="5"/>
        <v>0</v>
      </c>
      <c r="U6" s="142"/>
      <c r="V6" s="795"/>
      <c r="W6" s="796">
        <f>F6/D6</f>
        <v>4.0277777777777777</v>
      </c>
      <c r="X6" s="91"/>
    </row>
    <row r="7" spans="2:27" ht="16.2" x14ac:dyDescent="0.45">
      <c r="B7" s="770">
        <v>4</v>
      </c>
      <c r="C7" s="771" t="s">
        <v>21</v>
      </c>
      <c r="D7" s="785">
        <v>12</v>
      </c>
      <c r="E7" s="773" t="s">
        <v>228</v>
      </c>
      <c r="F7" s="774">
        <v>960</v>
      </c>
      <c r="G7" s="775">
        <v>80</v>
      </c>
      <c r="H7" s="776" t="s">
        <v>231</v>
      </c>
      <c r="I7" s="777"/>
      <c r="J7" s="778" t="s">
        <v>232</v>
      </c>
      <c r="K7" s="779"/>
      <c r="L7" s="780">
        <f>I7-K7</f>
        <v>0</v>
      </c>
      <c r="M7" s="781">
        <v>80</v>
      </c>
      <c r="N7" s="774">
        <f t="shared" si="1"/>
        <v>0</v>
      </c>
      <c r="O7" s="786"/>
      <c r="P7" s="783">
        <f>F7/D7*O7/18</f>
        <v>0</v>
      </c>
      <c r="Q7" s="781"/>
      <c r="R7" s="490">
        <f t="shared" si="3"/>
        <v>0</v>
      </c>
      <c r="S7" s="97">
        <f t="shared" si="4"/>
        <v>0</v>
      </c>
      <c r="T7" s="97">
        <f t="shared" si="5"/>
        <v>0</v>
      </c>
      <c r="U7" s="142"/>
      <c r="V7" s="795"/>
      <c r="W7" s="796">
        <f>F7/D7/18</f>
        <v>4.4444444444444446</v>
      </c>
      <c r="X7" s="91"/>
    </row>
    <row r="8" spans="2:27" ht="17.399999999999999" x14ac:dyDescent="0.45">
      <c r="B8" s="770">
        <v>5</v>
      </c>
      <c r="C8" s="771" t="s">
        <v>22</v>
      </c>
      <c r="D8" s="787">
        <v>12</v>
      </c>
      <c r="E8" s="773" t="s">
        <v>228</v>
      </c>
      <c r="F8" s="781">
        <v>960</v>
      </c>
      <c r="G8" s="775">
        <v>80</v>
      </c>
      <c r="H8" s="776" t="s">
        <v>231</v>
      </c>
      <c r="I8" s="777"/>
      <c r="J8" s="778" t="s">
        <v>232</v>
      </c>
      <c r="K8" s="788"/>
      <c r="L8" s="780">
        <f>I8-K8</f>
        <v>0</v>
      </c>
      <c r="M8" s="781">
        <v>80</v>
      </c>
      <c r="N8" s="774">
        <f t="shared" si="1"/>
        <v>0</v>
      </c>
      <c r="O8" s="786"/>
      <c r="P8" s="783">
        <f t="shared" ref="P8:P10" si="6">F8/D8*O8/18</f>
        <v>0</v>
      </c>
      <c r="Q8" s="781"/>
      <c r="R8" s="490">
        <f t="shared" si="3"/>
        <v>0</v>
      </c>
      <c r="S8" s="97">
        <f t="shared" si="4"/>
        <v>0</v>
      </c>
      <c r="T8" s="97">
        <f t="shared" si="5"/>
        <v>0</v>
      </c>
      <c r="U8" s="142"/>
      <c r="V8" s="795"/>
      <c r="W8" s="796">
        <f>F8/D8/18</f>
        <v>4.4444444444444446</v>
      </c>
      <c r="X8" s="91"/>
      <c r="Z8" s="627" t="s">
        <v>466</v>
      </c>
      <c r="AA8" s="503" t="s">
        <v>403</v>
      </c>
    </row>
    <row r="9" spans="2:27" ht="16.2" x14ac:dyDescent="0.45">
      <c r="B9" s="770">
        <v>6</v>
      </c>
      <c r="C9" s="771" t="s">
        <v>23</v>
      </c>
      <c r="D9" s="785">
        <v>12</v>
      </c>
      <c r="E9" s="773" t="s">
        <v>228</v>
      </c>
      <c r="F9" s="774">
        <v>960</v>
      </c>
      <c r="G9" s="775">
        <v>80</v>
      </c>
      <c r="H9" s="776" t="s">
        <v>231</v>
      </c>
      <c r="I9" s="777"/>
      <c r="J9" s="778" t="s">
        <v>232</v>
      </c>
      <c r="K9" s="779"/>
      <c r="L9" s="780">
        <f t="shared" si="0"/>
        <v>0</v>
      </c>
      <c r="M9" s="781">
        <v>80</v>
      </c>
      <c r="N9" s="774">
        <f t="shared" si="1"/>
        <v>0</v>
      </c>
      <c r="O9" s="786"/>
      <c r="P9" s="783">
        <f t="shared" si="6"/>
        <v>0</v>
      </c>
      <c r="Q9" s="781"/>
      <c r="R9" s="490">
        <f t="shared" si="3"/>
        <v>0</v>
      </c>
      <c r="S9" s="97">
        <f t="shared" si="4"/>
        <v>0</v>
      </c>
      <c r="T9" s="97">
        <f t="shared" si="5"/>
        <v>0</v>
      </c>
      <c r="U9" s="142"/>
      <c r="V9" s="795"/>
      <c r="W9" s="796">
        <f>F9/D9/18</f>
        <v>4.4444444444444446</v>
      </c>
      <c r="X9" s="91"/>
    </row>
    <row r="10" spans="2:27" ht="16.2" x14ac:dyDescent="0.45">
      <c r="B10" s="770">
        <v>7</v>
      </c>
      <c r="C10" s="771" t="s">
        <v>24</v>
      </c>
      <c r="D10" s="772">
        <v>24</v>
      </c>
      <c r="E10" s="773" t="s">
        <v>228</v>
      </c>
      <c r="F10" s="774">
        <v>1014</v>
      </c>
      <c r="G10" s="775">
        <v>42</v>
      </c>
      <c r="H10" s="776" t="s">
        <v>233</v>
      </c>
      <c r="I10" s="777"/>
      <c r="J10" s="778" t="s">
        <v>234</v>
      </c>
      <c r="K10" s="779"/>
      <c r="L10" s="780">
        <f t="shared" si="0"/>
        <v>0</v>
      </c>
      <c r="M10" s="781">
        <v>15</v>
      </c>
      <c r="N10" s="774">
        <f t="shared" si="1"/>
        <v>0</v>
      </c>
      <c r="O10" s="786"/>
      <c r="P10" s="783">
        <f t="shared" si="6"/>
        <v>0</v>
      </c>
      <c r="Q10" s="781"/>
      <c r="R10" s="490">
        <f t="shared" si="3"/>
        <v>0</v>
      </c>
      <c r="S10" s="97">
        <f t="shared" si="4"/>
        <v>0</v>
      </c>
      <c r="T10" s="97">
        <f t="shared" si="5"/>
        <v>0</v>
      </c>
      <c r="U10" s="142"/>
      <c r="V10" s="795"/>
      <c r="W10" s="796">
        <f t="shared" ref="W10:W58" si="7">F10/D10</f>
        <v>42.25</v>
      </c>
      <c r="X10" s="91"/>
    </row>
    <row r="11" spans="2:27" ht="16.2" x14ac:dyDescent="0.45">
      <c r="B11" s="770">
        <v>8</v>
      </c>
      <c r="C11" s="771" t="s">
        <v>25</v>
      </c>
      <c r="D11" s="772">
        <v>24</v>
      </c>
      <c r="E11" s="773" t="s">
        <v>228</v>
      </c>
      <c r="F11" s="774">
        <v>360</v>
      </c>
      <c r="G11" s="775">
        <v>15</v>
      </c>
      <c r="H11" s="776" t="s">
        <v>229</v>
      </c>
      <c r="I11" s="777"/>
      <c r="J11" s="778" t="s">
        <v>230</v>
      </c>
      <c r="K11" s="779"/>
      <c r="L11" s="780">
        <f t="shared" si="0"/>
        <v>0</v>
      </c>
      <c r="M11" s="781">
        <v>330</v>
      </c>
      <c r="N11" s="774">
        <f t="shared" si="1"/>
        <v>0</v>
      </c>
      <c r="O11" s="786"/>
      <c r="P11" s="783">
        <f t="shared" si="2"/>
        <v>0</v>
      </c>
      <c r="Q11" s="781"/>
      <c r="R11" s="490">
        <f t="shared" si="3"/>
        <v>0</v>
      </c>
      <c r="S11" s="97">
        <f t="shared" si="4"/>
        <v>0</v>
      </c>
      <c r="T11" s="97">
        <f t="shared" si="5"/>
        <v>0</v>
      </c>
      <c r="U11" s="142"/>
      <c r="V11" s="795"/>
      <c r="W11" s="796">
        <f t="shared" si="7"/>
        <v>15</v>
      </c>
      <c r="X11" s="91"/>
    </row>
    <row r="12" spans="2:27" ht="16.2" x14ac:dyDescent="0.45">
      <c r="B12" s="770">
        <v>9</v>
      </c>
      <c r="C12" s="771" t="s">
        <v>59</v>
      </c>
      <c r="D12" s="772">
        <v>6</v>
      </c>
      <c r="E12" s="773" t="s">
        <v>228</v>
      </c>
      <c r="F12" s="774">
        <v>234</v>
      </c>
      <c r="G12" s="789">
        <v>39</v>
      </c>
      <c r="H12" s="776" t="s">
        <v>234</v>
      </c>
      <c r="I12" s="777"/>
      <c r="J12" s="778" t="s">
        <v>230</v>
      </c>
      <c r="K12" s="779"/>
      <c r="L12" s="780">
        <f>I12-K12</f>
        <v>0</v>
      </c>
      <c r="M12" s="781">
        <v>235</v>
      </c>
      <c r="N12" s="774">
        <f>L12*M12</f>
        <v>0</v>
      </c>
      <c r="O12" s="786"/>
      <c r="P12" s="783">
        <f>F12/D12*O12</f>
        <v>0</v>
      </c>
      <c r="Q12" s="781"/>
      <c r="R12" s="490">
        <f t="shared" si="3"/>
        <v>0</v>
      </c>
      <c r="S12" s="97">
        <f t="shared" si="4"/>
        <v>0</v>
      </c>
      <c r="T12" s="97">
        <f t="shared" si="5"/>
        <v>0</v>
      </c>
      <c r="U12" s="142"/>
      <c r="V12" s="795"/>
      <c r="W12" s="796">
        <f t="shared" si="7"/>
        <v>39</v>
      </c>
      <c r="X12" s="91"/>
    </row>
    <row r="13" spans="2:27" ht="16.2" x14ac:dyDescent="0.45">
      <c r="B13" s="770">
        <v>10</v>
      </c>
      <c r="C13" s="784" t="s">
        <v>26</v>
      </c>
      <c r="D13" s="785">
        <v>48</v>
      </c>
      <c r="E13" s="773" t="s">
        <v>228</v>
      </c>
      <c r="F13" s="774">
        <v>370</v>
      </c>
      <c r="G13" s="775">
        <v>8</v>
      </c>
      <c r="H13" s="776" t="s">
        <v>229</v>
      </c>
      <c r="I13" s="777"/>
      <c r="J13" s="778" t="s">
        <v>230</v>
      </c>
      <c r="K13" s="788"/>
      <c r="L13" s="780">
        <f t="shared" si="0"/>
        <v>0</v>
      </c>
      <c r="M13" s="781">
        <v>370</v>
      </c>
      <c r="N13" s="774">
        <f t="shared" si="1"/>
        <v>0</v>
      </c>
      <c r="O13" s="786"/>
      <c r="P13" s="783">
        <f t="shared" si="2"/>
        <v>0</v>
      </c>
      <c r="Q13" s="781"/>
      <c r="R13" s="490">
        <f t="shared" si="3"/>
        <v>0</v>
      </c>
      <c r="S13" s="97">
        <f t="shared" si="4"/>
        <v>0</v>
      </c>
      <c r="T13" s="97">
        <f t="shared" si="5"/>
        <v>0</v>
      </c>
      <c r="U13" s="142"/>
      <c r="V13" s="795"/>
      <c r="W13" s="796">
        <f t="shared" si="7"/>
        <v>7.708333333333333</v>
      </c>
      <c r="X13" s="91"/>
    </row>
    <row r="14" spans="2:27" ht="16.2" x14ac:dyDescent="0.45">
      <c r="B14" s="770">
        <v>11</v>
      </c>
      <c r="C14" s="784" t="s">
        <v>27</v>
      </c>
      <c r="D14" s="785">
        <v>6</v>
      </c>
      <c r="E14" s="773" t="s">
        <v>228</v>
      </c>
      <c r="F14" s="774">
        <v>295</v>
      </c>
      <c r="G14" s="775">
        <v>50</v>
      </c>
      <c r="H14" s="776" t="s">
        <v>233</v>
      </c>
      <c r="I14" s="777"/>
      <c r="J14" s="778" t="s">
        <v>230</v>
      </c>
      <c r="K14" s="779"/>
      <c r="L14" s="780">
        <f t="shared" si="0"/>
        <v>0</v>
      </c>
      <c r="M14" s="781">
        <v>295</v>
      </c>
      <c r="N14" s="774">
        <f t="shared" si="1"/>
        <v>0</v>
      </c>
      <c r="O14" s="786"/>
      <c r="P14" s="783">
        <f t="shared" si="2"/>
        <v>0</v>
      </c>
      <c r="Q14" s="790"/>
      <c r="R14" s="490">
        <f t="shared" si="3"/>
        <v>0</v>
      </c>
      <c r="S14" s="97">
        <f t="shared" si="4"/>
        <v>0</v>
      </c>
      <c r="T14" s="97">
        <f t="shared" si="5"/>
        <v>0</v>
      </c>
      <c r="U14" s="142"/>
      <c r="V14" s="795"/>
      <c r="W14" s="796">
        <f t="shared" si="7"/>
        <v>49.166666666666664</v>
      </c>
      <c r="X14" s="91"/>
    </row>
    <row r="15" spans="2:27" ht="16.2" x14ac:dyDescent="0.45">
      <c r="B15" s="770">
        <v>12</v>
      </c>
      <c r="C15" s="771" t="s">
        <v>28</v>
      </c>
      <c r="D15" s="772">
        <v>24</v>
      </c>
      <c r="E15" s="773" t="s">
        <v>228</v>
      </c>
      <c r="F15" s="774">
        <v>1910</v>
      </c>
      <c r="G15" s="775">
        <v>80</v>
      </c>
      <c r="H15" s="776" t="s">
        <v>231</v>
      </c>
      <c r="I15" s="777"/>
      <c r="J15" s="778" t="s">
        <v>231</v>
      </c>
      <c r="K15" s="779"/>
      <c r="L15" s="780">
        <f t="shared" si="0"/>
        <v>0</v>
      </c>
      <c r="M15" s="781">
        <v>80</v>
      </c>
      <c r="N15" s="774">
        <f t="shared" si="1"/>
        <v>0</v>
      </c>
      <c r="O15" s="786"/>
      <c r="P15" s="783">
        <f t="shared" si="2"/>
        <v>0</v>
      </c>
      <c r="Q15" s="781"/>
      <c r="R15" s="490">
        <f t="shared" si="3"/>
        <v>0</v>
      </c>
      <c r="S15" s="97">
        <f t="shared" si="4"/>
        <v>0</v>
      </c>
      <c r="T15" s="97">
        <f t="shared" si="5"/>
        <v>0</v>
      </c>
      <c r="U15" s="142"/>
      <c r="V15" s="795"/>
      <c r="W15" s="796">
        <f t="shared" si="7"/>
        <v>79.583333333333329</v>
      </c>
      <c r="X15" s="91"/>
    </row>
    <row r="16" spans="2:27" ht="16.2" x14ac:dyDescent="0.45">
      <c r="B16" s="770">
        <v>13</v>
      </c>
      <c r="C16" s="791" t="s">
        <v>29</v>
      </c>
      <c r="D16" s="772">
        <v>24</v>
      </c>
      <c r="E16" s="773" t="s">
        <v>228</v>
      </c>
      <c r="F16" s="774">
        <v>3465</v>
      </c>
      <c r="G16" s="775">
        <v>144</v>
      </c>
      <c r="H16" s="776" t="s">
        <v>231</v>
      </c>
      <c r="I16" s="777"/>
      <c r="J16" s="778" t="s">
        <v>231</v>
      </c>
      <c r="K16" s="779"/>
      <c r="L16" s="780">
        <f t="shared" si="0"/>
        <v>0</v>
      </c>
      <c r="M16" s="781">
        <v>145</v>
      </c>
      <c r="N16" s="774">
        <f t="shared" si="1"/>
        <v>0</v>
      </c>
      <c r="O16" s="786"/>
      <c r="P16" s="783">
        <f t="shared" si="2"/>
        <v>0</v>
      </c>
      <c r="Q16" s="781"/>
      <c r="R16" s="490">
        <f t="shared" si="3"/>
        <v>0</v>
      </c>
      <c r="S16" s="97">
        <f t="shared" si="4"/>
        <v>0</v>
      </c>
      <c r="T16" s="97">
        <f t="shared" si="5"/>
        <v>0</v>
      </c>
      <c r="U16" s="142"/>
      <c r="V16" s="795"/>
      <c r="W16" s="796">
        <f t="shared" si="7"/>
        <v>144.375</v>
      </c>
      <c r="X16" s="91"/>
    </row>
    <row r="17" spans="2:25" ht="16.2" x14ac:dyDescent="0.45">
      <c r="B17" s="770">
        <v>14</v>
      </c>
      <c r="C17" s="771" t="s">
        <v>235</v>
      </c>
      <c r="D17" s="772">
        <v>24</v>
      </c>
      <c r="E17" s="773" t="s">
        <v>228</v>
      </c>
      <c r="F17" s="774">
        <v>3615</v>
      </c>
      <c r="G17" s="775">
        <v>150</v>
      </c>
      <c r="H17" s="776" t="s">
        <v>231</v>
      </c>
      <c r="I17" s="777"/>
      <c r="J17" s="778" t="s">
        <v>231</v>
      </c>
      <c r="K17" s="788"/>
      <c r="L17" s="780">
        <f t="shared" si="0"/>
        <v>0</v>
      </c>
      <c r="M17" s="781">
        <v>150</v>
      </c>
      <c r="N17" s="774">
        <f t="shared" si="1"/>
        <v>0</v>
      </c>
      <c r="O17" s="786"/>
      <c r="P17" s="783">
        <v>0</v>
      </c>
      <c r="Q17" s="781"/>
      <c r="R17" s="490">
        <f t="shared" si="3"/>
        <v>0</v>
      </c>
      <c r="S17" s="97">
        <f t="shared" si="4"/>
        <v>0</v>
      </c>
      <c r="T17" s="97">
        <f t="shared" si="5"/>
        <v>0</v>
      </c>
      <c r="U17" s="142" t="s">
        <v>236</v>
      </c>
      <c r="V17" s="797" t="s">
        <v>237</v>
      </c>
      <c r="W17" s="796">
        <v>13</v>
      </c>
      <c r="X17" s="91"/>
    </row>
    <row r="18" spans="2:25" ht="16.2" x14ac:dyDescent="0.45">
      <c r="B18" s="770">
        <v>15</v>
      </c>
      <c r="C18" s="771" t="s">
        <v>30</v>
      </c>
      <c r="D18" s="772">
        <v>72</v>
      </c>
      <c r="E18" s="773" t="s">
        <v>228</v>
      </c>
      <c r="F18" s="774">
        <v>276</v>
      </c>
      <c r="G18" s="775">
        <v>4</v>
      </c>
      <c r="H18" s="776" t="s">
        <v>229</v>
      </c>
      <c r="I18" s="777"/>
      <c r="J18" s="778" t="s">
        <v>230</v>
      </c>
      <c r="K18" s="779"/>
      <c r="L18" s="780">
        <f t="shared" si="0"/>
        <v>0</v>
      </c>
      <c r="M18" s="781">
        <v>276</v>
      </c>
      <c r="N18" s="774">
        <f t="shared" si="1"/>
        <v>0</v>
      </c>
      <c r="O18" s="786"/>
      <c r="P18" s="783">
        <f t="shared" si="2"/>
        <v>0</v>
      </c>
      <c r="Q18" s="781"/>
      <c r="R18" s="490">
        <f t="shared" si="3"/>
        <v>0</v>
      </c>
      <c r="S18" s="97">
        <f t="shared" si="4"/>
        <v>0</v>
      </c>
      <c r="T18" s="97">
        <f t="shared" si="5"/>
        <v>0</v>
      </c>
      <c r="U18" s="142"/>
      <c r="V18" s="795"/>
      <c r="W18" s="796">
        <f t="shared" si="7"/>
        <v>3.8333333333333335</v>
      </c>
      <c r="X18" s="91"/>
    </row>
    <row r="19" spans="2:25" ht="16.2" x14ac:dyDescent="0.45">
      <c r="B19" s="770">
        <v>16</v>
      </c>
      <c r="C19" s="771" t="s">
        <v>31</v>
      </c>
      <c r="D19" s="772">
        <v>72</v>
      </c>
      <c r="E19" s="773" t="s">
        <v>228</v>
      </c>
      <c r="F19" s="774">
        <v>276</v>
      </c>
      <c r="G19" s="775">
        <v>4</v>
      </c>
      <c r="H19" s="776" t="s">
        <v>229</v>
      </c>
      <c r="I19" s="777"/>
      <c r="J19" s="778" t="s">
        <v>230</v>
      </c>
      <c r="K19" s="779"/>
      <c r="L19" s="780">
        <f t="shared" si="0"/>
        <v>0</v>
      </c>
      <c r="M19" s="781">
        <v>276</v>
      </c>
      <c r="N19" s="774">
        <f t="shared" si="1"/>
        <v>0</v>
      </c>
      <c r="O19" s="786"/>
      <c r="P19" s="783">
        <f t="shared" si="2"/>
        <v>0</v>
      </c>
      <c r="Q19" s="781"/>
      <c r="R19" s="490">
        <f t="shared" si="3"/>
        <v>0</v>
      </c>
      <c r="S19" s="97">
        <f t="shared" si="4"/>
        <v>0</v>
      </c>
      <c r="T19" s="97">
        <f t="shared" si="5"/>
        <v>0</v>
      </c>
      <c r="U19" s="142"/>
      <c r="V19" s="795"/>
      <c r="W19" s="796">
        <f t="shared" si="7"/>
        <v>3.8333333333333335</v>
      </c>
      <c r="X19" s="91"/>
    </row>
    <row r="20" spans="2:25" ht="16.2" x14ac:dyDescent="0.45">
      <c r="B20" s="770">
        <v>17</v>
      </c>
      <c r="C20" s="771" t="s">
        <v>10</v>
      </c>
      <c r="D20" s="772">
        <v>48</v>
      </c>
      <c r="E20" s="773" t="s">
        <v>228</v>
      </c>
      <c r="F20" s="774">
        <v>185</v>
      </c>
      <c r="G20" s="775">
        <v>4</v>
      </c>
      <c r="H20" s="776" t="s">
        <v>229</v>
      </c>
      <c r="I20" s="777"/>
      <c r="J20" s="778" t="s">
        <v>230</v>
      </c>
      <c r="K20" s="788"/>
      <c r="L20" s="780">
        <f t="shared" si="0"/>
        <v>0</v>
      </c>
      <c r="M20" s="781">
        <v>185</v>
      </c>
      <c r="N20" s="774">
        <f t="shared" si="1"/>
        <v>0</v>
      </c>
      <c r="O20" s="786"/>
      <c r="P20" s="783">
        <f t="shared" si="2"/>
        <v>0</v>
      </c>
      <c r="Q20" s="781"/>
      <c r="R20" s="490">
        <f t="shared" si="3"/>
        <v>0</v>
      </c>
      <c r="S20" s="97">
        <f t="shared" si="4"/>
        <v>0</v>
      </c>
      <c r="T20" s="97">
        <f t="shared" si="5"/>
        <v>0</v>
      </c>
      <c r="U20" s="142"/>
      <c r="V20" s="795" t="str">
        <f t="array" ref="V20">SUBSTITUTE(J15:J16,"box","")</f>
        <v/>
      </c>
      <c r="W20" s="796">
        <f t="shared" si="7"/>
        <v>3.8541666666666665</v>
      </c>
      <c r="X20" s="91"/>
      <c r="Y20" t="s">
        <v>527</v>
      </c>
    </row>
    <row r="21" spans="2:25" ht="16.2" x14ac:dyDescent="0.45">
      <c r="B21" s="770">
        <v>18</v>
      </c>
      <c r="C21" s="771" t="s">
        <v>238</v>
      </c>
      <c r="D21" s="772">
        <v>24</v>
      </c>
      <c r="E21" s="773" t="s">
        <v>228</v>
      </c>
      <c r="F21" s="774">
        <v>190</v>
      </c>
      <c r="G21" s="775">
        <v>8</v>
      </c>
      <c r="H21" s="776" t="s">
        <v>229</v>
      </c>
      <c r="I21" s="777"/>
      <c r="J21" s="778" t="s">
        <v>230</v>
      </c>
      <c r="K21" s="779"/>
      <c r="L21" s="780">
        <f t="shared" si="0"/>
        <v>0</v>
      </c>
      <c r="M21" s="781">
        <v>190</v>
      </c>
      <c r="N21" s="774">
        <f t="shared" si="1"/>
        <v>0</v>
      </c>
      <c r="O21" s="786"/>
      <c r="P21" s="783">
        <f t="shared" si="2"/>
        <v>0</v>
      </c>
      <c r="Q21" s="781"/>
      <c r="R21" s="490">
        <f t="shared" si="3"/>
        <v>0</v>
      </c>
      <c r="S21" s="97">
        <f t="shared" si="4"/>
        <v>0</v>
      </c>
      <c r="T21" s="97">
        <f t="shared" si="5"/>
        <v>0</v>
      </c>
      <c r="U21" s="142"/>
      <c r="V21" s="795"/>
      <c r="W21" s="796">
        <f t="shared" si="7"/>
        <v>7.916666666666667</v>
      </c>
      <c r="X21" s="91"/>
    </row>
    <row r="22" spans="2:25" ht="16.2" x14ac:dyDescent="0.45">
      <c r="B22" s="770">
        <v>19</v>
      </c>
      <c r="C22" s="771" t="s">
        <v>33</v>
      </c>
      <c r="D22" s="772">
        <v>6</v>
      </c>
      <c r="E22" s="773" t="s">
        <v>228</v>
      </c>
      <c r="F22" s="774">
        <v>211</v>
      </c>
      <c r="G22" s="775">
        <v>35</v>
      </c>
      <c r="H22" s="776" t="s">
        <v>229</v>
      </c>
      <c r="I22" s="777"/>
      <c r="J22" s="778" t="s">
        <v>230</v>
      </c>
      <c r="K22" s="779"/>
      <c r="L22" s="780">
        <f t="shared" si="0"/>
        <v>0</v>
      </c>
      <c r="M22" s="781">
        <v>211</v>
      </c>
      <c r="N22" s="774">
        <f t="shared" si="1"/>
        <v>0</v>
      </c>
      <c r="O22" s="786"/>
      <c r="P22" s="783">
        <f t="shared" si="2"/>
        <v>0</v>
      </c>
      <c r="Q22" s="781"/>
      <c r="R22" s="490">
        <f t="shared" si="3"/>
        <v>0</v>
      </c>
      <c r="S22" s="97">
        <f t="shared" si="4"/>
        <v>0</v>
      </c>
      <c r="T22" s="97">
        <f t="shared" si="5"/>
        <v>0</v>
      </c>
      <c r="U22" s="142"/>
      <c r="V22" s="795"/>
      <c r="W22" s="796">
        <f t="shared" si="7"/>
        <v>35.166666666666664</v>
      </c>
      <c r="X22" s="91"/>
    </row>
    <row r="23" spans="2:25" ht="16.2" x14ac:dyDescent="0.45">
      <c r="B23" s="770">
        <v>20</v>
      </c>
      <c r="C23" s="771" t="s">
        <v>11</v>
      </c>
      <c r="D23" s="772">
        <v>24</v>
      </c>
      <c r="E23" s="773" t="s">
        <v>228</v>
      </c>
      <c r="F23" s="774">
        <v>190</v>
      </c>
      <c r="G23" s="775">
        <v>8</v>
      </c>
      <c r="H23" s="776" t="s">
        <v>229</v>
      </c>
      <c r="I23" s="777"/>
      <c r="J23" s="778" t="s">
        <v>230</v>
      </c>
      <c r="K23" s="779"/>
      <c r="L23" s="780">
        <f>I23-K23</f>
        <v>0</v>
      </c>
      <c r="M23" s="781">
        <v>190</v>
      </c>
      <c r="N23" s="774">
        <f t="shared" si="1"/>
        <v>0</v>
      </c>
      <c r="O23" s="786"/>
      <c r="P23" s="783">
        <f t="shared" si="2"/>
        <v>0</v>
      </c>
      <c r="Q23" s="781"/>
      <c r="R23" s="490">
        <f t="shared" si="3"/>
        <v>0</v>
      </c>
      <c r="S23" s="97">
        <f t="shared" si="4"/>
        <v>0</v>
      </c>
      <c r="T23" s="97">
        <f t="shared" si="5"/>
        <v>0</v>
      </c>
      <c r="U23" s="142"/>
      <c r="V23" s="795"/>
      <c r="W23" s="796">
        <f t="shared" si="7"/>
        <v>7.916666666666667</v>
      </c>
      <c r="X23" s="91"/>
    </row>
    <row r="24" spans="2:25" ht="16.2" x14ac:dyDescent="0.45">
      <c r="B24" s="770">
        <v>21</v>
      </c>
      <c r="C24" s="771" t="s">
        <v>34</v>
      </c>
      <c r="D24" s="772">
        <v>8</v>
      </c>
      <c r="E24" s="773" t="s">
        <v>228</v>
      </c>
      <c r="F24" s="774">
        <v>241</v>
      </c>
      <c r="G24" s="775">
        <v>30</v>
      </c>
      <c r="H24" s="776" t="s">
        <v>233</v>
      </c>
      <c r="I24" s="777"/>
      <c r="J24" s="778" t="s">
        <v>230</v>
      </c>
      <c r="K24" s="779"/>
      <c r="L24" s="780">
        <f>I24-K24</f>
        <v>0</v>
      </c>
      <c r="M24" s="781">
        <v>240</v>
      </c>
      <c r="N24" s="774">
        <f t="shared" si="1"/>
        <v>0</v>
      </c>
      <c r="O24" s="786"/>
      <c r="P24" s="783">
        <f t="shared" si="2"/>
        <v>0</v>
      </c>
      <c r="Q24" s="781"/>
      <c r="R24" s="490">
        <f t="shared" si="3"/>
        <v>0</v>
      </c>
      <c r="S24" s="97">
        <f t="shared" si="4"/>
        <v>0</v>
      </c>
      <c r="T24" s="97">
        <f t="shared" si="5"/>
        <v>0</v>
      </c>
      <c r="U24" s="143"/>
      <c r="V24" s="795"/>
      <c r="W24" s="796">
        <f t="shared" si="7"/>
        <v>30.125</v>
      </c>
      <c r="X24" s="91"/>
    </row>
    <row r="25" spans="2:25" ht="16.2" x14ac:dyDescent="0.45">
      <c r="B25" s="770">
        <v>22</v>
      </c>
      <c r="C25" s="771" t="s">
        <v>35</v>
      </c>
      <c r="D25" s="772">
        <v>6</v>
      </c>
      <c r="E25" s="773" t="s">
        <v>228</v>
      </c>
      <c r="F25" s="774">
        <v>207</v>
      </c>
      <c r="G25" s="775">
        <v>35</v>
      </c>
      <c r="H25" s="776" t="s">
        <v>233</v>
      </c>
      <c r="I25" s="777"/>
      <c r="J25" s="778" t="s">
        <v>230</v>
      </c>
      <c r="K25" s="779"/>
      <c r="L25" s="780">
        <f t="shared" si="0"/>
        <v>0</v>
      </c>
      <c r="M25" s="781">
        <v>207</v>
      </c>
      <c r="N25" s="774">
        <f t="shared" si="1"/>
        <v>0</v>
      </c>
      <c r="O25" s="786"/>
      <c r="P25" s="783">
        <f t="shared" si="2"/>
        <v>0</v>
      </c>
      <c r="Q25" s="781"/>
      <c r="R25" s="490">
        <f t="shared" si="3"/>
        <v>0</v>
      </c>
      <c r="S25" s="97">
        <f t="shared" si="4"/>
        <v>0</v>
      </c>
      <c r="T25" s="97">
        <f t="shared" si="5"/>
        <v>0</v>
      </c>
      <c r="U25" s="142"/>
      <c r="V25" s="795"/>
      <c r="W25" s="796">
        <f t="shared" si="7"/>
        <v>34.5</v>
      </c>
      <c r="X25" s="91"/>
    </row>
    <row r="26" spans="2:25" ht="16.2" x14ac:dyDescent="0.45">
      <c r="B26" s="770">
        <v>23</v>
      </c>
      <c r="C26" s="771" t="s">
        <v>36</v>
      </c>
      <c r="D26" s="772">
        <v>48</v>
      </c>
      <c r="E26" s="773" t="s">
        <v>228</v>
      </c>
      <c r="F26" s="774">
        <v>185</v>
      </c>
      <c r="G26" s="775">
        <v>4</v>
      </c>
      <c r="H26" s="776" t="s">
        <v>229</v>
      </c>
      <c r="I26" s="777"/>
      <c r="J26" s="778" t="s">
        <v>230</v>
      </c>
      <c r="K26" s="779"/>
      <c r="L26" s="780">
        <f t="shared" si="0"/>
        <v>0</v>
      </c>
      <c r="M26" s="781">
        <v>185</v>
      </c>
      <c r="N26" s="774">
        <f t="shared" si="1"/>
        <v>0</v>
      </c>
      <c r="O26" s="786"/>
      <c r="P26" s="783">
        <f t="shared" si="2"/>
        <v>0</v>
      </c>
      <c r="Q26" s="781"/>
      <c r="R26" s="490">
        <f t="shared" si="3"/>
        <v>0</v>
      </c>
      <c r="S26" s="97">
        <f t="shared" si="4"/>
        <v>0</v>
      </c>
      <c r="T26" s="97">
        <f t="shared" si="5"/>
        <v>0</v>
      </c>
      <c r="U26" s="142"/>
      <c r="V26" s="795"/>
      <c r="W26" s="796">
        <f t="shared" si="7"/>
        <v>3.8541666666666665</v>
      </c>
      <c r="X26" s="91"/>
    </row>
    <row r="27" spans="2:25" ht="16.2" x14ac:dyDescent="0.45">
      <c r="B27" s="770">
        <v>24</v>
      </c>
      <c r="C27" s="771" t="s">
        <v>37</v>
      </c>
      <c r="D27" s="772">
        <v>6</v>
      </c>
      <c r="E27" s="773" t="s">
        <v>228</v>
      </c>
      <c r="F27" s="774">
        <v>372</v>
      </c>
      <c r="G27" s="775">
        <v>62</v>
      </c>
      <c r="H27" s="776" t="s">
        <v>233</v>
      </c>
      <c r="I27" s="777"/>
      <c r="J27" s="778" t="s">
        <v>230</v>
      </c>
      <c r="K27" s="779"/>
      <c r="L27" s="780">
        <f t="shared" si="0"/>
        <v>0</v>
      </c>
      <c r="M27" s="781">
        <v>372</v>
      </c>
      <c r="N27" s="774">
        <f t="shared" si="1"/>
        <v>0</v>
      </c>
      <c r="O27" s="786"/>
      <c r="P27" s="783">
        <f t="shared" si="2"/>
        <v>0</v>
      </c>
      <c r="Q27" s="781"/>
      <c r="R27" s="490">
        <f t="shared" si="3"/>
        <v>0</v>
      </c>
      <c r="S27" s="97">
        <f t="shared" si="4"/>
        <v>0</v>
      </c>
      <c r="T27" s="97">
        <f t="shared" si="5"/>
        <v>0</v>
      </c>
      <c r="U27" s="142"/>
      <c r="V27" s="795"/>
      <c r="W27" s="796">
        <f t="shared" si="7"/>
        <v>62</v>
      </c>
      <c r="X27" s="91"/>
    </row>
    <row r="28" spans="2:25" ht="16.2" x14ac:dyDescent="0.45">
      <c r="B28" s="770">
        <v>25</v>
      </c>
      <c r="C28" s="771" t="s">
        <v>38</v>
      </c>
      <c r="D28" s="772">
        <v>24</v>
      </c>
      <c r="E28" s="773" t="s">
        <v>228</v>
      </c>
      <c r="F28" s="774">
        <v>190</v>
      </c>
      <c r="G28" s="775">
        <v>8</v>
      </c>
      <c r="H28" s="776" t="s">
        <v>229</v>
      </c>
      <c r="I28" s="777"/>
      <c r="J28" s="778" t="s">
        <v>239</v>
      </c>
      <c r="K28" s="788"/>
      <c r="L28" s="780">
        <f t="shared" si="0"/>
        <v>0</v>
      </c>
      <c r="M28" s="781">
        <v>190</v>
      </c>
      <c r="N28" s="774">
        <f t="shared" si="1"/>
        <v>0</v>
      </c>
      <c r="O28" s="786"/>
      <c r="P28" s="783">
        <f t="shared" si="2"/>
        <v>0</v>
      </c>
      <c r="Q28" s="781"/>
      <c r="R28" s="490">
        <f t="shared" si="3"/>
        <v>0</v>
      </c>
      <c r="S28" s="97">
        <f t="shared" si="4"/>
        <v>0</v>
      </c>
      <c r="T28" s="97">
        <f t="shared" si="5"/>
        <v>0</v>
      </c>
      <c r="U28" s="142"/>
      <c r="V28" s="795"/>
      <c r="W28" s="796">
        <f t="shared" si="7"/>
        <v>7.916666666666667</v>
      </c>
      <c r="X28" s="91"/>
    </row>
    <row r="29" spans="2:25" ht="16.2" x14ac:dyDescent="0.45">
      <c r="B29" s="770">
        <v>26</v>
      </c>
      <c r="C29" s="792" t="s">
        <v>39</v>
      </c>
      <c r="D29" s="787">
        <v>48</v>
      </c>
      <c r="E29" s="773" t="s">
        <v>228</v>
      </c>
      <c r="F29" s="774">
        <v>200</v>
      </c>
      <c r="G29" s="775">
        <v>4</v>
      </c>
      <c r="H29" s="776" t="s">
        <v>229</v>
      </c>
      <c r="I29" s="777"/>
      <c r="J29" s="778" t="s">
        <v>239</v>
      </c>
      <c r="K29" s="779"/>
      <c r="L29" s="780">
        <f t="shared" si="0"/>
        <v>0</v>
      </c>
      <c r="M29" s="774">
        <v>200</v>
      </c>
      <c r="N29" s="774">
        <f t="shared" si="1"/>
        <v>0</v>
      </c>
      <c r="O29" s="786"/>
      <c r="P29" s="783">
        <f t="shared" si="2"/>
        <v>0</v>
      </c>
      <c r="Q29" s="781"/>
      <c r="R29" s="490">
        <f t="shared" si="3"/>
        <v>0</v>
      </c>
      <c r="S29" s="97">
        <f t="shared" si="4"/>
        <v>0</v>
      </c>
      <c r="T29" s="97">
        <f t="shared" si="5"/>
        <v>0</v>
      </c>
      <c r="U29" s="142"/>
      <c r="V29" s="795"/>
      <c r="W29" s="796">
        <f t="shared" si="7"/>
        <v>4.166666666666667</v>
      </c>
      <c r="X29" s="91"/>
    </row>
    <row r="30" spans="2:25" ht="16.2" x14ac:dyDescent="0.45">
      <c r="B30" s="770">
        <v>27</v>
      </c>
      <c r="C30" s="792" t="s">
        <v>240</v>
      </c>
      <c r="D30" s="787">
        <v>24</v>
      </c>
      <c r="E30" s="773" t="s">
        <v>228</v>
      </c>
      <c r="F30" s="774">
        <v>205</v>
      </c>
      <c r="G30" s="775">
        <v>8.5</v>
      </c>
      <c r="H30" s="776" t="s">
        <v>229</v>
      </c>
      <c r="I30" s="777"/>
      <c r="J30" s="778" t="s">
        <v>239</v>
      </c>
      <c r="K30" s="779"/>
      <c r="L30" s="780">
        <f t="shared" si="0"/>
        <v>0</v>
      </c>
      <c r="M30" s="774">
        <v>205</v>
      </c>
      <c r="N30" s="774">
        <f t="shared" si="1"/>
        <v>0</v>
      </c>
      <c r="O30" s="786"/>
      <c r="P30" s="783">
        <f t="shared" si="2"/>
        <v>0</v>
      </c>
      <c r="Q30" s="781"/>
      <c r="R30" s="490">
        <f t="shared" si="3"/>
        <v>0</v>
      </c>
      <c r="S30" s="97">
        <f t="shared" si="4"/>
        <v>0</v>
      </c>
      <c r="T30" s="97">
        <f t="shared" si="5"/>
        <v>0</v>
      </c>
      <c r="U30" s="142"/>
      <c r="V30" s="795"/>
      <c r="W30" s="796">
        <f t="shared" si="7"/>
        <v>8.5416666666666661</v>
      </c>
      <c r="X30" s="91"/>
    </row>
    <row r="31" spans="2:25" ht="16.2" x14ac:dyDescent="0.45">
      <c r="B31" s="770">
        <v>28</v>
      </c>
      <c r="C31" s="792" t="s">
        <v>40</v>
      </c>
      <c r="D31" s="787">
        <v>24</v>
      </c>
      <c r="E31" s="773" t="s">
        <v>228</v>
      </c>
      <c r="F31" s="774">
        <v>196</v>
      </c>
      <c r="G31" s="775">
        <v>8</v>
      </c>
      <c r="H31" s="776" t="s">
        <v>229</v>
      </c>
      <c r="I31" s="777"/>
      <c r="J31" s="778" t="s">
        <v>239</v>
      </c>
      <c r="K31" s="779"/>
      <c r="L31" s="780">
        <f t="shared" si="0"/>
        <v>0</v>
      </c>
      <c r="M31" s="774">
        <v>196</v>
      </c>
      <c r="N31" s="774">
        <f t="shared" si="1"/>
        <v>0</v>
      </c>
      <c r="O31" s="786"/>
      <c r="P31" s="783">
        <f t="shared" si="2"/>
        <v>0</v>
      </c>
      <c r="Q31" s="781"/>
      <c r="R31" s="490">
        <f t="shared" si="3"/>
        <v>0</v>
      </c>
      <c r="S31" s="97">
        <f t="shared" si="4"/>
        <v>0</v>
      </c>
      <c r="T31" s="97">
        <f t="shared" si="5"/>
        <v>0</v>
      </c>
      <c r="U31" s="142"/>
      <c r="V31" s="795"/>
      <c r="W31" s="796">
        <f t="shared" si="7"/>
        <v>8.1666666666666661</v>
      </c>
      <c r="X31" s="91"/>
    </row>
    <row r="32" spans="2:25" ht="16.2" x14ac:dyDescent="0.45">
      <c r="B32" s="770">
        <v>29</v>
      </c>
      <c r="C32" s="792" t="s">
        <v>12</v>
      </c>
      <c r="D32" s="787">
        <v>6</v>
      </c>
      <c r="E32" s="773" t="s">
        <v>228</v>
      </c>
      <c r="F32" s="774">
        <v>900</v>
      </c>
      <c r="G32" s="775">
        <v>150</v>
      </c>
      <c r="H32" s="776" t="s">
        <v>241</v>
      </c>
      <c r="I32" s="777"/>
      <c r="J32" s="778" t="s">
        <v>241</v>
      </c>
      <c r="K32" s="779"/>
      <c r="L32" s="780">
        <f t="shared" si="0"/>
        <v>0</v>
      </c>
      <c r="M32" s="774">
        <v>150</v>
      </c>
      <c r="N32" s="774">
        <f t="shared" si="1"/>
        <v>0</v>
      </c>
      <c r="O32" s="786"/>
      <c r="P32" s="783">
        <f t="shared" si="2"/>
        <v>0</v>
      </c>
      <c r="Q32" s="781"/>
      <c r="R32" s="490">
        <f t="shared" si="3"/>
        <v>0</v>
      </c>
      <c r="S32" s="97">
        <f t="shared" si="4"/>
        <v>0</v>
      </c>
      <c r="T32" s="97">
        <f t="shared" si="5"/>
        <v>0</v>
      </c>
      <c r="U32" s="142"/>
      <c r="V32" s="795"/>
      <c r="W32" s="796">
        <f t="shared" si="7"/>
        <v>150</v>
      </c>
      <c r="X32" s="91"/>
    </row>
    <row r="33" spans="2:24" ht="16.2" x14ac:dyDescent="0.45">
      <c r="B33" s="770">
        <v>30</v>
      </c>
      <c r="C33" s="793" t="s">
        <v>329</v>
      </c>
      <c r="D33" s="787">
        <v>6</v>
      </c>
      <c r="E33" s="773" t="s">
        <v>228</v>
      </c>
      <c r="F33" s="774">
        <v>348</v>
      </c>
      <c r="G33" s="775">
        <v>58</v>
      </c>
      <c r="H33" s="776" t="s">
        <v>233</v>
      </c>
      <c r="I33" s="777"/>
      <c r="J33" s="778" t="s">
        <v>230</v>
      </c>
      <c r="K33" s="779"/>
      <c r="L33" s="780">
        <f t="shared" si="0"/>
        <v>0</v>
      </c>
      <c r="M33" s="774">
        <v>350</v>
      </c>
      <c r="N33" s="774">
        <f>L33*M33</f>
        <v>0</v>
      </c>
      <c r="O33" s="786"/>
      <c r="P33" s="783">
        <f t="shared" si="2"/>
        <v>0</v>
      </c>
      <c r="Q33" s="781"/>
      <c r="R33" s="490">
        <f t="shared" si="3"/>
        <v>0</v>
      </c>
      <c r="S33" s="97">
        <f t="shared" si="4"/>
        <v>0</v>
      </c>
      <c r="T33" s="97">
        <f t="shared" si="5"/>
        <v>0</v>
      </c>
      <c r="U33" s="142"/>
      <c r="V33" s="795"/>
      <c r="W33" s="796">
        <f t="shared" si="7"/>
        <v>58</v>
      </c>
      <c r="X33" s="91"/>
    </row>
    <row r="34" spans="2:24" ht="16.2" x14ac:dyDescent="0.45">
      <c r="B34" s="770">
        <v>31</v>
      </c>
      <c r="C34" s="792" t="s">
        <v>13</v>
      </c>
      <c r="D34" s="787">
        <v>6</v>
      </c>
      <c r="E34" s="773" t="s">
        <v>228</v>
      </c>
      <c r="F34" s="774">
        <v>217</v>
      </c>
      <c r="G34" s="775">
        <v>36</v>
      </c>
      <c r="H34" s="776" t="s">
        <v>233</v>
      </c>
      <c r="I34" s="777"/>
      <c r="J34" s="778" t="s">
        <v>230</v>
      </c>
      <c r="K34" s="788"/>
      <c r="L34" s="780">
        <f t="shared" si="0"/>
        <v>0</v>
      </c>
      <c r="M34" s="774">
        <v>220</v>
      </c>
      <c r="N34" s="774">
        <f t="shared" si="1"/>
        <v>0</v>
      </c>
      <c r="O34" s="786"/>
      <c r="P34" s="783">
        <f t="shared" si="2"/>
        <v>0</v>
      </c>
      <c r="Q34" s="781"/>
      <c r="R34" s="490">
        <f t="shared" si="3"/>
        <v>0</v>
      </c>
      <c r="S34" s="97">
        <f t="shared" si="4"/>
        <v>0</v>
      </c>
      <c r="T34" s="97">
        <f t="shared" si="5"/>
        <v>0</v>
      </c>
      <c r="U34" s="142"/>
      <c r="V34" s="795"/>
      <c r="W34" s="796">
        <f t="shared" si="7"/>
        <v>36.166666666666664</v>
      </c>
      <c r="X34" s="91"/>
    </row>
    <row r="35" spans="2:24" ht="16.2" x14ac:dyDescent="0.45">
      <c r="B35" s="770">
        <v>32</v>
      </c>
      <c r="C35" s="792" t="s">
        <v>42</v>
      </c>
      <c r="D35" s="787">
        <v>24</v>
      </c>
      <c r="E35" s="773" t="s">
        <v>228</v>
      </c>
      <c r="F35" s="774">
        <v>482</v>
      </c>
      <c r="G35" s="775">
        <v>20</v>
      </c>
      <c r="H35" s="776" t="s">
        <v>233</v>
      </c>
      <c r="I35" s="777"/>
      <c r="J35" s="778" t="s">
        <v>230</v>
      </c>
      <c r="K35" s="779"/>
      <c r="L35" s="780">
        <f t="shared" si="0"/>
        <v>0</v>
      </c>
      <c r="M35" s="774">
        <v>482</v>
      </c>
      <c r="N35" s="774">
        <f t="shared" si="1"/>
        <v>0</v>
      </c>
      <c r="O35" s="786"/>
      <c r="P35" s="783">
        <f t="shared" si="2"/>
        <v>0</v>
      </c>
      <c r="Q35" s="781"/>
      <c r="R35" s="490">
        <f t="shared" si="3"/>
        <v>0</v>
      </c>
      <c r="S35" s="97">
        <f t="shared" si="4"/>
        <v>0</v>
      </c>
      <c r="T35" s="97">
        <f t="shared" si="5"/>
        <v>0</v>
      </c>
      <c r="U35" s="142"/>
      <c r="V35" s="795"/>
      <c r="W35" s="796">
        <f t="shared" si="7"/>
        <v>20.083333333333332</v>
      </c>
      <c r="X35" s="91"/>
    </row>
    <row r="36" spans="2:24" ht="16.2" x14ac:dyDescent="0.45">
      <c r="B36" s="770">
        <v>33</v>
      </c>
      <c r="C36" s="792" t="s">
        <v>43</v>
      </c>
      <c r="D36" s="787">
        <v>48</v>
      </c>
      <c r="E36" s="773" t="s">
        <v>228</v>
      </c>
      <c r="F36" s="774">
        <v>193</v>
      </c>
      <c r="G36" s="775">
        <v>4</v>
      </c>
      <c r="H36" s="776" t="s">
        <v>229</v>
      </c>
      <c r="I36" s="777"/>
      <c r="J36" s="778" t="s">
        <v>230</v>
      </c>
      <c r="K36" s="788"/>
      <c r="L36" s="780">
        <f t="shared" si="0"/>
        <v>0</v>
      </c>
      <c r="M36" s="774">
        <v>195</v>
      </c>
      <c r="N36" s="774">
        <f t="shared" si="1"/>
        <v>0</v>
      </c>
      <c r="O36" s="786"/>
      <c r="P36" s="783">
        <f t="shared" si="2"/>
        <v>0</v>
      </c>
      <c r="Q36" s="781"/>
      <c r="R36" s="490">
        <f t="shared" si="3"/>
        <v>0</v>
      </c>
      <c r="S36" s="97">
        <f t="shared" si="4"/>
        <v>0</v>
      </c>
      <c r="T36" s="97">
        <f t="shared" si="5"/>
        <v>0</v>
      </c>
      <c r="U36" s="142"/>
      <c r="V36" s="795"/>
      <c r="W36" s="796">
        <f t="shared" si="7"/>
        <v>4.020833333333333</v>
      </c>
      <c r="X36" s="91"/>
    </row>
    <row r="37" spans="2:24" ht="16.2" x14ac:dyDescent="0.45">
      <c r="B37" s="770">
        <v>34</v>
      </c>
      <c r="C37" s="771" t="s">
        <v>242</v>
      </c>
      <c r="D37" s="772">
        <v>360</v>
      </c>
      <c r="E37" s="773" t="s">
        <v>228</v>
      </c>
      <c r="F37" s="774">
        <v>1445</v>
      </c>
      <c r="G37" s="775">
        <v>96</v>
      </c>
      <c r="H37" s="776" t="s">
        <v>224</v>
      </c>
      <c r="I37" s="777"/>
      <c r="J37" s="778" t="s">
        <v>243</v>
      </c>
      <c r="K37" s="779"/>
      <c r="L37" s="780">
        <f t="shared" si="0"/>
        <v>0</v>
      </c>
      <c r="M37" s="781">
        <v>96</v>
      </c>
      <c r="N37" s="774">
        <f t="shared" si="1"/>
        <v>0</v>
      </c>
      <c r="O37" s="786"/>
      <c r="P37" s="783">
        <f t="shared" si="2"/>
        <v>0</v>
      </c>
      <c r="Q37" s="781"/>
      <c r="R37" s="490">
        <f t="shared" si="3"/>
        <v>0</v>
      </c>
      <c r="S37" s="97">
        <f t="shared" si="4"/>
        <v>0</v>
      </c>
      <c r="T37" s="97">
        <f t="shared" si="5"/>
        <v>0</v>
      </c>
      <c r="U37" s="144" t="s">
        <v>81</v>
      </c>
      <c r="V37" s="145" t="s">
        <v>82</v>
      </c>
      <c r="W37" s="796">
        <f t="shared" si="7"/>
        <v>4.0138888888888893</v>
      </c>
      <c r="X37" s="91"/>
    </row>
    <row r="38" spans="2:24" ht="16.2" x14ac:dyDescent="0.45">
      <c r="B38" s="770">
        <v>35</v>
      </c>
      <c r="C38" s="771" t="s">
        <v>45</v>
      </c>
      <c r="D38" s="772">
        <v>72</v>
      </c>
      <c r="E38" s="773" t="s">
        <v>228</v>
      </c>
      <c r="F38" s="774">
        <v>1512</v>
      </c>
      <c r="G38" s="775">
        <v>255</v>
      </c>
      <c r="H38" s="776" t="s">
        <v>224</v>
      </c>
      <c r="I38" s="777"/>
      <c r="J38" s="778" t="s">
        <v>243</v>
      </c>
      <c r="K38" s="788"/>
      <c r="L38" s="780">
        <f t="shared" si="0"/>
        <v>0</v>
      </c>
      <c r="M38" s="781">
        <v>255</v>
      </c>
      <c r="N38" s="774">
        <f t="shared" si="1"/>
        <v>0</v>
      </c>
      <c r="O38" s="786"/>
      <c r="P38" s="783">
        <f t="shared" si="2"/>
        <v>0</v>
      </c>
      <c r="Q38" s="781"/>
      <c r="R38" s="490">
        <f t="shared" si="3"/>
        <v>0</v>
      </c>
      <c r="S38" s="97">
        <f t="shared" si="4"/>
        <v>0</v>
      </c>
      <c r="T38" s="97">
        <f t="shared" si="5"/>
        <v>0</v>
      </c>
      <c r="U38" s="144" t="s">
        <v>83</v>
      </c>
      <c r="V38" s="145" t="s">
        <v>84</v>
      </c>
      <c r="W38" s="796">
        <f t="shared" si="7"/>
        <v>21</v>
      </c>
      <c r="X38" s="91"/>
    </row>
    <row r="39" spans="2:24" ht="16.2" x14ac:dyDescent="0.45">
      <c r="B39" s="770">
        <v>36</v>
      </c>
      <c r="C39" s="771" t="s">
        <v>46</v>
      </c>
      <c r="D39" s="772">
        <v>36</v>
      </c>
      <c r="E39" s="773" t="s">
        <v>228</v>
      </c>
      <c r="F39" s="774">
        <v>1305</v>
      </c>
      <c r="G39" s="775">
        <v>218</v>
      </c>
      <c r="H39" s="776" t="s">
        <v>224</v>
      </c>
      <c r="I39" s="777"/>
      <c r="J39" s="778" t="s">
        <v>243</v>
      </c>
      <c r="K39" s="779"/>
      <c r="L39" s="780">
        <f t="shared" si="0"/>
        <v>0</v>
      </c>
      <c r="M39" s="781">
        <v>218</v>
      </c>
      <c r="N39" s="774">
        <f t="shared" si="1"/>
        <v>0</v>
      </c>
      <c r="O39" s="786"/>
      <c r="P39" s="783">
        <f t="shared" si="2"/>
        <v>0</v>
      </c>
      <c r="Q39" s="781"/>
      <c r="R39" s="490">
        <f t="shared" si="3"/>
        <v>0</v>
      </c>
      <c r="S39" s="97">
        <f t="shared" si="4"/>
        <v>0</v>
      </c>
      <c r="T39" s="97">
        <f t="shared" si="5"/>
        <v>0</v>
      </c>
      <c r="U39" s="144" t="s">
        <v>83</v>
      </c>
      <c r="V39" s="145" t="s">
        <v>85</v>
      </c>
      <c r="W39" s="796">
        <f t="shared" si="7"/>
        <v>36.25</v>
      </c>
      <c r="X39" s="91"/>
    </row>
    <row r="40" spans="2:24" ht="16.2" x14ac:dyDescent="0.45">
      <c r="B40" s="770">
        <v>37</v>
      </c>
      <c r="C40" s="771" t="s">
        <v>260</v>
      </c>
      <c r="D40" s="772">
        <v>360</v>
      </c>
      <c r="E40" s="773" t="s">
        <v>228</v>
      </c>
      <c r="F40" s="774">
        <v>1445</v>
      </c>
      <c r="G40" s="775">
        <v>96</v>
      </c>
      <c r="H40" s="776" t="s">
        <v>224</v>
      </c>
      <c r="I40" s="777"/>
      <c r="J40" s="778" t="s">
        <v>243</v>
      </c>
      <c r="K40" s="779"/>
      <c r="L40" s="780">
        <f t="shared" si="0"/>
        <v>0</v>
      </c>
      <c r="M40" s="781">
        <v>96</v>
      </c>
      <c r="N40" s="774">
        <f t="shared" si="1"/>
        <v>0</v>
      </c>
      <c r="O40" s="786"/>
      <c r="P40" s="783">
        <f t="shared" si="2"/>
        <v>0</v>
      </c>
      <c r="Q40" s="781"/>
      <c r="R40" s="490">
        <f t="shared" si="3"/>
        <v>0</v>
      </c>
      <c r="S40" s="97">
        <f t="shared" si="4"/>
        <v>0</v>
      </c>
      <c r="T40" s="97">
        <f t="shared" si="5"/>
        <v>0</v>
      </c>
      <c r="U40" s="144" t="s">
        <v>81</v>
      </c>
      <c r="V40" s="145" t="s">
        <v>82</v>
      </c>
      <c r="W40" s="796">
        <f t="shared" si="7"/>
        <v>4.0138888888888893</v>
      </c>
      <c r="X40" s="91"/>
    </row>
    <row r="41" spans="2:24" ht="16.2" x14ac:dyDescent="0.45">
      <c r="B41" s="770">
        <v>38</v>
      </c>
      <c r="C41" s="771" t="s">
        <v>48</v>
      </c>
      <c r="D41" s="772">
        <v>72</v>
      </c>
      <c r="E41" s="773" t="s">
        <v>228</v>
      </c>
      <c r="F41" s="774">
        <v>1511</v>
      </c>
      <c r="G41" s="775">
        <v>252</v>
      </c>
      <c r="H41" s="776" t="s">
        <v>224</v>
      </c>
      <c r="I41" s="777"/>
      <c r="J41" s="778" t="s">
        <v>243</v>
      </c>
      <c r="K41" s="779"/>
      <c r="L41" s="780">
        <f t="shared" si="0"/>
        <v>0</v>
      </c>
      <c r="M41" s="781">
        <v>252</v>
      </c>
      <c r="N41" s="774">
        <f t="shared" si="1"/>
        <v>0</v>
      </c>
      <c r="O41" s="786"/>
      <c r="P41" s="783">
        <f t="shared" si="2"/>
        <v>0</v>
      </c>
      <c r="Q41" s="781"/>
      <c r="R41" s="490">
        <f t="shared" si="3"/>
        <v>0</v>
      </c>
      <c r="S41" s="97">
        <f t="shared" si="4"/>
        <v>0</v>
      </c>
      <c r="T41" s="97">
        <f t="shared" si="5"/>
        <v>0</v>
      </c>
      <c r="U41" s="144" t="s">
        <v>83</v>
      </c>
      <c r="V41" s="145" t="s">
        <v>84</v>
      </c>
      <c r="W41" s="796">
        <f t="shared" si="7"/>
        <v>20.986111111111111</v>
      </c>
      <c r="X41" s="91"/>
    </row>
    <row r="42" spans="2:24" ht="16.2" x14ac:dyDescent="0.45">
      <c r="B42" s="770">
        <v>39</v>
      </c>
      <c r="C42" s="771" t="s">
        <v>49</v>
      </c>
      <c r="D42" s="772">
        <v>36</v>
      </c>
      <c r="E42" s="773" t="s">
        <v>228</v>
      </c>
      <c r="F42" s="774">
        <v>1310</v>
      </c>
      <c r="G42" s="775">
        <v>218</v>
      </c>
      <c r="H42" s="776" t="s">
        <v>224</v>
      </c>
      <c r="I42" s="777"/>
      <c r="J42" s="778" t="s">
        <v>243</v>
      </c>
      <c r="K42" s="809"/>
      <c r="L42" s="780">
        <f t="shared" si="0"/>
        <v>0</v>
      </c>
      <c r="M42" s="781">
        <v>218</v>
      </c>
      <c r="N42" s="774">
        <f t="shared" si="1"/>
        <v>0</v>
      </c>
      <c r="O42" s="786"/>
      <c r="P42" s="783">
        <f t="shared" si="2"/>
        <v>0</v>
      </c>
      <c r="Q42" s="781"/>
      <c r="R42" s="490">
        <f t="shared" si="3"/>
        <v>0</v>
      </c>
      <c r="S42" s="97">
        <f t="shared" si="4"/>
        <v>0</v>
      </c>
      <c r="T42" s="97">
        <f t="shared" si="5"/>
        <v>0</v>
      </c>
      <c r="U42" s="144" t="s">
        <v>83</v>
      </c>
      <c r="V42" s="145" t="s">
        <v>86</v>
      </c>
      <c r="W42" s="796">
        <f t="shared" si="7"/>
        <v>36.388888888888886</v>
      </c>
      <c r="X42" s="91"/>
    </row>
    <row r="43" spans="2:24" ht="16.2" x14ac:dyDescent="0.45">
      <c r="B43" s="770">
        <v>40</v>
      </c>
      <c r="C43" s="771" t="s">
        <v>50</v>
      </c>
      <c r="D43" s="772">
        <v>360</v>
      </c>
      <c r="E43" s="773" t="s">
        <v>228</v>
      </c>
      <c r="F43" s="774">
        <v>1368</v>
      </c>
      <c r="G43" s="775">
        <v>91</v>
      </c>
      <c r="H43" s="776" t="s">
        <v>224</v>
      </c>
      <c r="I43" s="777"/>
      <c r="J43" s="778" t="s">
        <v>243</v>
      </c>
      <c r="K43" s="809"/>
      <c r="L43" s="780">
        <f t="shared" si="0"/>
        <v>0</v>
      </c>
      <c r="M43" s="781">
        <v>96</v>
      </c>
      <c r="N43" s="774">
        <f t="shared" si="1"/>
        <v>0</v>
      </c>
      <c r="O43" s="786"/>
      <c r="P43" s="783">
        <f t="shared" si="2"/>
        <v>0</v>
      </c>
      <c r="Q43" s="781"/>
      <c r="R43" s="490">
        <f t="shared" si="3"/>
        <v>0</v>
      </c>
      <c r="S43" s="97">
        <f t="shared" si="4"/>
        <v>0</v>
      </c>
      <c r="T43" s="97">
        <f t="shared" si="5"/>
        <v>0</v>
      </c>
      <c r="U43" s="144" t="s">
        <v>81</v>
      </c>
      <c r="V43" s="145" t="s">
        <v>87</v>
      </c>
      <c r="W43" s="796">
        <f t="shared" si="7"/>
        <v>3.8</v>
      </c>
      <c r="X43" s="91"/>
    </row>
    <row r="44" spans="2:24" ht="16.2" x14ac:dyDescent="0.45">
      <c r="B44" s="770">
        <v>41</v>
      </c>
      <c r="C44" s="771" t="s">
        <v>51</v>
      </c>
      <c r="D44" s="772">
        <v>480</v>
      </c>
      <c r="E44" s="773" t="s">
        <v>228</v>
      </c>
      <c r="F44" s="774">
        <v>1923</v>
      </c>
      <c r="G44" s="775">
        <v>192</v>
      </c>
      <c r="H44" s="776" t="s">
        <v>224</v>
      </c>
      <c r="I44" s="777"/>
      <c r="J44" s="778" t="s">
        <v>243</v>
      </c>
      <c r="K44" s="809"/>
      <c r="L44" s="780">
        <f t="shared" si="0"/>
        <v>0</v>
      </c>
      <c r="M44" s="781">
        <v>192</v>
      </c>
      <c r="N44" s="774">
        <f t="shared" si="1"/>
        <v>0</v>
      </c>
      <c r="O44" s="786"/>
      <c r="P44" s="783">
        <f t="shared" si="2"/>
        <v>0</v>
      </c>
      <c r="Q44" s="781"/>
      <c r="R44" s="490">
        <f t="shared" si="3"/>
        <v>0</v>
      </c>
      <c r="S44" s="97">
        <f t="shared" si="4"/>
        <v>0</v>
      </c>
      <c r="T44" s="97">
        <f t="shared" si="5"/>
        <v>0</v>
      </c>
      <c r="U44" s="144" t="s">
        <v>88</v>
      </c>
      <c r="V44" s="145" t="s">
        <v>87</v>
      </c>
      <c r="W44" s="796">
        <f t="shared" si="7"/>
        <v>4.0062499999999996</v>
      </c>
      <c r="X44" s="91"/>
    </row>
    <row r="45" spans="2:24" ht="16.2" x14ac:dyDescent="0.45">
      <c r="B45" s="770">
        <v>42</v>
      </c>
      <c r="C45" s="771" t="s">
        <v>52</v>
      </c>
      <c r="D45" s="772">
        <v>360</v>
      </c>
      <c r="E45" s="773" t="s">
        <v>228</v>
      </c>
      <c r="F45" s="774">
        <v>1444</v>
      </c>
      <c r="G45" s="775">
        <v>96</v>
      </c>
      <c r="H45" s="776" t="s">
        <v>224</v>
      </c>
      <c r="I45" s="777"/>
      <c r="J45" s="778" t="s">
        <v>243</v>
      </c>
      <c r="K45" s="809"/>
      <c r="L45" s="780">
        <f>I45-K45</f>
        <v>0</v>
      </c>
      <c r="M45" s="781">
        <v>96</v>
      </c>
      <c r="N45" s="774">
        <f>L45*M45</f>
        <v>0</v>
      </c>
      <c r="O45" s="786"/>
      <c r="P45" s="783">
        <f t="shared" si="2"/>
        <v>0</v>
      </c>
      <c r="Q45" s="781"/>
      <c r="R45" s="490">
        <f t="shared" si="3"/>
        <v>0</v>
      </c>
      <c r="S45" s="97">
        <f t="shared" si="4"/>
        <v>0</v>
      </c>
      <c r="T45" s="97">
        <f t="shared" si="5"/>
        <v>0</v>
      </c>
      <c r="U45" s="144" t="s">
        <v>81</v>
      </c>
      <c r="V45" s="145" t="s">
        <v>82</v>
      </c>
      <c r="W45" s="796">
        <f t="shared" si="7"/>
        <v>4.0111111111111111</v>
      </c>
      <c r="X45" s="91"/>
    </row>
    <row r="46" spans="2:24" ht="16.2" x14ac:dyDescent="0.45">
      <c r="B46" s="770">
        <v>43</v>
      </c>
      <c r="C46" s="771" t="s">
        <v>53</v>
      </c>
      <c r="D46" s="772">
        <v>72</v>
      </c>
      <c r="E46" s="773" t="s">
        <v>228</v>
      </c>
      <c r="F46" s="774">
        <v>1445</v>
      </c>
      <c r="G46" s="775">
        <v>241</v>
      </c>
      <c r="H46" s="776" t="s">
        <v>224</v>
      </c>
      <c r="I46" s="777"/>
      <c r="J46" s="778" t="s">
        <v>243</v>
      </c>
      <c r="K46" s="809"/>
      <c r="L46" s="780">
        <f>I46-K46</f>
        <v>0</v>
      </c>
      <c r="M46" s="781">
        <v>241</v>
      </c>
      <c r="N46" s="774">
        <f>L46*M46</f>
        <v>0</v>
      </c>
      <c r="O46" s="786"/>
      <c r="P46" s="783">
        <f t="shared" si="2"/>
        <v>0</v>
      </c>
      <c r="Q46" s="781"/>
      <c r="R46" s="490">
        <f t="shared" si="3"/>
        <v>0</v>
      </c>
      <c r="S46" s="97">
        <f t="shared" si="4"/>
        <v>0</v>
      </c>
      <c r="T46" s="97">
        <f t="shared" si="5"/>
        <v>0</v>
      </c>
      <c r="U46" s="144" t="s">
        <v>83</v>
      </c>
      <c r="V46" s="145" t="s">
        <v>84</v>
      </c>
      <c r="W46" s="796">
        <f t="shared" si="7"/>
        <v>20.069444444444443</v>
      </c>
      <c r="X46" s="91"/>
    </row>
    <row r="47" spans="2:24" ht="15" customHeight="1" x14ac:dyDescent="0.45">
      <c r="B47" s="770">
        <v>44</v>
      </c>
      <c r="C47" s="771" t="s">
        <v>54</v>
      </c>
      <c r="D47" s="772">
        <v>36</v>
      </c>
      <c r="E47" s="773" t="s">
        <v>228</v>
      </c>
      <c r="F47" s="774">
        <v>1310</v>
      </c>
      <c r="G47" s="775">
        <v>220</v>
      </c>
      <c r="H47" s="776" t="s">
        <v>224</v>
      </c>
      <c r="I47" s="777"/>
      <c r="J47" s="778" t="s">
        <v>243</v>
      </c>
      <c r="K47" s="809"/>
      <c r="L47" s="780">
        <f>I47-K47</f>
        <v>0</v>
      </c>
      <c r="M47" s="781">
        <v>220</v>
      </c>
      <c r="N47" s="774">
        <f>L47*M47</f>
        <v>0</v>
      </c>
      <c r="O47" s="786"/>
      <c r="P47" s="783">
        <f t="shared" si="2"/>
        <v>0</v>
      </c>
      <c r="Q47" s="781"/>
      <c r="R47" s="490">
        <f t="shared" si="3"/>
        <v>0</v>
      </c>
      <c r="S47" s="97">
        <f t="shared" si="4"/>
        <v>0</v>
      </c>
      <c r="T47" s="97">
        <f t="shared" si="5"/>
        <v>0</v>
      </c>
      <c r="U47" s="144" t="s">
        <v>83</v>
      </c>
      <c r="V47" s="145" t="s">
        <v>85</v>
      </c>
      <c r="W47" s="796">
        <f t="shared" si="7"/>
        <v>36.388888888888886</v>
      </c>
      <c r="X47" s="91"/>
    </row>
    <row r="48" spans="2:24" ht="16.2" x14ac:dyDescent="0.45">
      <c r="B48" s="770">
        <v>45</v>
      </c>
      <c r="C48" s="771" t="s">
        <v>525</v>
      </c>
      <c r="D48" s="772">
        <v>24</v>
      </c>
      <c r="E48" s="773" t="s">
        <v>228</v>
      </c>
      <c r="F48" s="774">
        <v>950</v>
      </c>
      <c r="G48" s="775">
        <v>40</v>
      </c>
      <c r="H48" s="776" t="s">
        <v>224</v>
      </c>
      <c r="I48" s="777"/>
      <c r="J48" s="778" t="s">
        <v>244</v>
      </c>
      <c r="K48" s="809"/>
      <c r="L48" s="780">
        <f t="shared" si="0"/>
        <v>0</v>
      </c>
      <c r="M48" s="781">
        <v>40</v>
      </c>
      <c r="N48" s="774">
        <f t="shared" si="1"/>
        <v>0</v>
      </c>
      <c r="O48" s="786"/>
      <c r="P48" s="783">
        <f t="shared" si="2"/>
        <v>0</v>
      </c>
      <c r="Q48" s="781"/>
      <c r="R48" s="490">
        <f t="shared" si="3"/>
        <v>0</v>
      </c>
      <c r="S48" s="97">
        <f t="shared" si="4"/>
        <v>0</v>
      </c>
      <c r="T48" s="97">
        <f t="shared" si="5"/>
        <v>0</v>
      </c>
      <c r="U48" s="144" t="s">
        <v>89</v>
      </c>
      <c r="V48" s="145" t="s">
        <v>92</v>
      </c>
      <c r="W48" s="796">
        <f t="shared" si="7"/>
        <v>39.583333333333336</v>
      </c>
      <c r="X48" s="91"/>
    </row>
    <row r="49" spans="2:25" ht="16.2" x14ac:dyDescent="0.45">
      <c r="B49" s="770">
        <v>46</v>
      </c>
      <c r="C49" s="771" t="s">
        <v>259</v>
      </c>
      <c r="D49" s="772">
        <v>240</v>
      </c>
      <c r="E49" s="773" t="s">
        <v>228</v>
      </c>
      <c r="F49" s="774">
        <v>840</v>
      </c>
      <c r="G49" s="775">
        <v>140</v>
      </c>
      <c r="H49" s="776" t="s">
        <v>245</v>
      </c>
      <c r="I49" s="777"/>
      <c r="J49" s="778" t="s">
        <v>245</v>
      </c>
      <c r="K49" s="809"/>
      <c r="L49" s="780">
        <f t="shared" si="0"/>
        <v>0</v>
      </c>
      <c r="M49" s="781">
        <v>140</v>
      </c>
      <c r="N49" s="774">
        <f t="shared" si="1"/>
        <v>0</v>
      </c>
      <c r="O49" s="786"/>
      <c r="P49" s="783">
        <f>F49/D49*O49</f>
        <v>0</v>
      </c>
      <c r="Q49" s="781"/>
      <c r="R49" s="490">
        <f t="shared" si="3"/>
        <v>0</v>
      </c>
      <c r="S49" s="97">
        <f t="shared" si="4"/>
        <v>0</v>
      </c>
      <c r="T49" s="97">
        <f t="shared" si="5"/>
        <v>0</v>
      </c>
      <c r="U49" s="144" t="s">
        <v>326</v>
      </c>
      <c r="V49" s="145" t="s">
        <v>90</v>
      </c>
      <c r="W49" s="796">
        <f t="shared" si="7"/>
        <v>3.5</v>
      </c>
      <c r="X49" s="91"/>
    </row>
    <row r="50" spans="2:25" ht="16.2" x14ac:dyDescent="0.45">
      <c r="B50" s="770">
        <v>47</v>
      </c>
      <c r="C50" s="771" t="s">
        <v>14</v>
      </c>
      <c r="D50" s="772">
        <v>24</v>
      </c>
      <c r="E50" s="773" t="s">
        <v>228</v>
      </c>
      <c r="F50" s="774">
        <v>182</v>
      </c>
      <c r="G50" s="775">
        <v>8</v>
      </c>
      <c r="H50" s="776" t="s">
        <v>229</v>
      </c>
      <c r="I50" s="777"/>
      <c r="J50" s="778" t="s">
        <v>230</v>
      </c>
      <c r="K50" s="809"/>
      <c r="L50" s="780">
        <f t="shared" si="0"/>
        <v>0</v>
      </c>
      <c r="M50" s="781">
        <v>185</v>
      </c>
      <c r="N50" s="774">
        <f t="shared" si="1"/>
        <v>0</v>
      </c>
      <c r="O50" s="786"/>
      <c r="P50" s="783">
        <f t="shared" si="2"/>
        <v>0</v>
      </c>
      <c r="Q50" s="781"/>
      <c r="R50" s="490">
        <f t="shared" si="3"/>
        <v>0</v>
      </c>
      <c r="S50" s="97">
        <f t="shared" si="4"/>
        <v>0</v>
      </c>
      <c r="T50" s="97">
        <f t="shared" si="5"/>
        <v>0</v>
      </c>
      <c r="U50" s="142"/>
      <c r="V50" s="795"/>
      <c r="W50" s="796">
        <f t="shared" si="7"/>
        <v>7.583333333333333</v>
      </c>
      <c r="X50" s="91"/>
    </row>
    <row r="51" spans="2:25" ht="16.2" x14ac:dyDescent="0.45">
      <c r="B51" s="770">
        <v>48</v>
      </c>
      <c r="C51" s="771" t="s">
        <v>57</v>
      </c>
      <c r="D51" s="772">
        <v>24</v>
      </c>
      <c r="E51" s="773" t="s">
        <v>228</v>
      </c>
      <c r="F51" s="774">
        <v>182</v>
      </c>
      <c r="G51" s="775">
        <v>8</v>
      </c>
      <c r="H51" s="776" t="s">
        <v>229</v>
      </c>
      <c r="I51" s="777"/>
      <c r="J51" s="778" t="s">
        <v>230</v>
      </c>
      <c r="K51" s="809"/>
      <c r="L51" s="780">
        <f t="shared" si="0"/>
        <v>0</v>
      </c>
      <c r="M51" s="781">
        <v>185</v>
      </c>
      <c r="N51" s="774">
        <f t="shared" si="1"/>
        <v>0</v>
      </c>
      <c r="O51" s="786"/>
      <c r="P51" s="783">
        <f t="shared" si="2"/>
        <v>0</v>
      </c>
      <c r="Q51" s="781"/>
      <c r="R51" s="490">
        <f t="shared" si="3"/>
        <v>0</v>
      </c>
      <c r="S51" s="97">
        <f t="shared" si="4"/>
        <v>0</v>
      </c>
      <c r="T51" s="97">
        <f t="shared" si="5"/>
        <v>0</v>
      </c>
      <c r="U51" s="142"/>
      <c r="V51" s="795"/>
      <c r="W51" s="796">
        <f t="shared" si="7"/>
        <v>7.583333333333333</v>
      </c>
      <c r="X51" s="91"/>
    </row>
    <row r="52" spans="2:25" ht="16.2" x14ac:dyDescent="0.45">
      <c r="B52" s="770">
        <v>49</v>
      </c>
      <c r="C52" s="771" t="s">
        <v>15</v>
      </c>
      <c r="D52" s="772">
        <v>24</v>
      </c>
      <c r="E52" s="773" t="s">
        <v>228</v>
      </c>
      <c r="F52" s="774">
        <v>216</v>
      </c>
      <c r="G52" s="775">
        <v>9</v>
      </c>
      <c r="H52" s="776" t="s">
        <v>229</v>
      </c>
      <c r="I52" s="777"/>
      <c r="J52" s="778" t="s">
        <v>230</v>
      </c>
      <c r="K52" s="779"/>
      <c r="L52" s="780">
        <f t="shared" si="0"/>
        <v>0</v>
      </c>
      <c r="M52" s="781">
        <v>216</v>
      </c>
      <c r="N52" s="774">
        <f t="shared" si="1"/>
        <v>0</v>
      </c>
      <c r="O52" s="786"/>
      <c r="P52" s="783">
        <f t="shared" si="2"/>
        <v>0</v>
      </c>
      <c r="Q52" s="781"/>
      <c r="R52" s="490">
        <f t="shared" si="3"/>
        <v>0</v>
      </c>
      <c r="S52" s="97">
        <f t="shared" si="4"/>
        <v>0</v>
      </c>
      <c r="T52" s="97">
        <f t="shared" si="5"/>
        <v>0</v>
      </c>
      <c r="U52" s="142"/>
      <c r="V52" s="795"/>
      <c r="W52" s="796">
        <f t="shared" si="7"/>
        <v>9</v>
      </c>
      <c r="X52" s="91"/>
    </row>
    <row r="53" spans="2:25" ht="16.2" x14ac:dyDescent="0.45">
      <c r="B53" s="770">
        <v>50</v>
      </c>
      <c r="C53" s="771" t="s">
        <v>16</v>
      </c>
      <c r="D53" s="772">
        <v>12</v>
      </c>
      <c r="E53" s="773" t="s">
        <v>228</v>
      </c>
      <c r="F53" s="774">
        <v>192</v>
      </c>
      <c r="G53" s="775">
        <v>16</v>
      </c>
      <c r="H53" s="776" t="s">
        <v>229</v>
      </c>
      <c r="I53" s="777"/>
      <c r="J53" s="778" t="s">
        <v>230</v>
      </c>
      <c r="K53" s="779"/>
      <c r="L53" s="780">
        <f t="shared" si="0"/>
        <v>0</v>
      </c>
      <c r="M53" s="781">
        <v>192</v>
      </c>
      <c r="N53" s="774">
        <f t="shared" si="1"/>
        <v>0</v>
      </c>
      <c r="O53" s="786"/>
      <c r="P53" s="783">
        <f t="shared" si="2"/>
        <v>0</v>
      </c>
      <c r="Q53" s="781"/>
      <c r="R53" s="490">
        <f t="shared" si="3"/>
        <v>0</v>
      </c>
      <c r="S53" s="97">
        <f t="shared" si="4"/>
        <v>0</v>
      </c>
      <c r="T53" s="97">
        <f t="shared" si="5"/>
        <v>0</v>
      </c>
      <c r="U53" s="142"/>
      <c r="V53" s="795"/>
      <c r="W53" s="796">
        <f t="shared" si="7"/>
        <v>16</v>
      </c>
      <c r="X53" s="91"/>
    </row>
    <row r="54" spans="2:25" ht="16.2" x14ac:dyDescent="0.45">
      <c r="B54" s="770">
        <v>51</v>
      </c>
      <c r="C54" s="771" t="s">
        <v>17</v>
      </c>
      <c r="D54" s="772">
        <v>6</v>
      </c>
      <c r="E54" s="773" t="s">
        <v>228</v>
      </c>
      <c r="F54" s="774">
        <v>150</v>
      </c>
      <c r="G54" s="775">
        <v>25</v>
      </c>
      <c r="H54" s="776" t="s">
        <v>229</v>
      </c>
      <c r="I54" s="777"/>
      <c r="J54" s="778" t="s">
        <v>230</v>
      </c>
      <c r="K54" s="779"/>
      <c r="L54" s="780">
        <f t="shared" si="0"/>
        <v>0</v>
      </c>
      <c r="M54" s="781">
        <v>150</v>
      </c>
      <c r="N54" s="774">
        <f t="shared" si="1"/>
        <v>0</v>
      </c>
      <c r="O54" s="786"/>
      <c r="P54" s="783">
        <f t="shared" si="2"/>
        <v>0</v>
      </c>
      <c r="Q54" s="781"/>
      <c r="R54" s="490">
        <f t="shared" si="3"/>
        <v>0</v>
      </c>
      <c r="S54" s="97">
        <f t="shared" si="4"/>
        <v>0</v>
      </c>
      <c r="T54" s="97">
        <f t="shared" si="5"/>
        <v>0</v>
      </c>
      <c r="U54" s="142"/>
      <c r="V54" s="795"/>
      <c r="W54" s="796">
        <f t="shared" si="7"/>
        <v>25</v>
      </c>
      <c r="X54" s="91"/>
    </row>
    <row r="55" spans="2:25" ht="16.2" x14ac:dyDescent="0.45">
      <c r="B55" s="770">
        <v>52</v>
      </c>
      <c r="C55" s="771" t="s">
        <v>58</v>
      </c>
      <c r="D55" s="772">
        <v>6</v>
      </c>
      <c r="E55" s="773" t="s">
        <v>228</v>
      </c>
      <c r="F55" s="774">
        <v>292</v>
      </c>
      <c r="G55" s="775">
        <v>49</v>
      </c>
      <c r="H55" s="776" t="s">
        <v>234</v>
      </c>
      <c r="I55" s="777"/>
      <c r="J55" s="778" t="s">
        <v>230</v>
      </c>
      <c r="K55" s="779"/>
      <c r="L55" s="780">
        <f t="shared" si="0"/>
        <v>0</v>
      </c>
      <c r="M55" s="781">
        <v>295</v>
      </c>
      <c r="N55" s="774">
        <f t="shared" si="1"/>
        <v>0</v>
      </c>
      <c r="O55" s="786"/>
      <c r="P55" s="783">
        <f t="shared" si="2"/>
        <v>0</v>
      </c>
      <c r="Q55" s="781"/>
      <c r="R55" s="490">
        <f t="shared" si="3"/>
        <v>0</v>
      </c>
      <c r="S55" s="97">
        <f t="shared" si="4"/>
        <v>0</v>
      </c>
      <c r="T55" s="97">
        <f t="shared" si="5"/>
        <v>0</v>
      </c>
      <c r="U55" s="142"/>
      <c r="V55" s="795"/>
      <c r="W55" s="796">
        <f t="shared" si="7"/>
        <v>48.666666666666664</v>
      </c>
      <c r="X55" s="91"/>
    </row>
    <row r="56" spans="2:25" ht="16.2" x14ac:dyDescent="0.45">
      <c r="B56" s="770">
        <v>53</v>
      </c>
      <c r="C56" s="771" t="s">
        <v>32</v>
      </c>
      <c r="D56" s="772">
        <v>24</v>
      </c>
      <c r="E56" s="773" t="s">
        <v>228</v>
      </c>
      <c r="F56" s="774">
        <v>190</v>
      </c>
      <c r="G56" s="775">
        <v>8</v>
      </c>
      <c r="H56" s="776" t="s">
        <v>229</v>
      </c>
      <c r="I56" s="777"/>
      <c r="J56" s="778" t="s">
        <v>230</v>
      </c>
      <c r="K56" s="779"/>
      <c r="L56" s="780">
        <f t="shared" si="0"/>
        <v>0</v>
      </c>
      <c r="M56" s="781">
        <v>190</v>
      </c>
      <c r="N56" s="774">
        <f t="shared" si="1"/>
        <v>0</v>
      </c>
      <c r="O56" s="786"/>
      <c r="P56" s="783">
        <f t="shared" si="2"/>
        <v>0</v>
      </c>
      <c r="Q56" s="781"/>
      <c r="R56" s="490">
        <f t="shared" si="3"/>
        <v>0</v>
      </c>
      <c r="S56" s="97">
        <f t="shared" si="4"/>
        <v>0</v>
      </c>
      <c r="T56" s="97">
        <f t="shared" si="5"/>
        <v>0</v>
      </c>
      <c r="U56" s="142"/>
      <c r="V56" s="795"/>
      <c r="W56" s="796">
        <f t="shared" si="7"/>
        <v>7.916666666666667</v>
      </c>
      <c r="X56" s="91"/>
    </row>
    <row r="57" spans="2:25" ht="16.2" x14ac:dyDescent="0.45">
      <c r="B57" s="770">
        <v>54</v>
      </c>
      <c r="C57" s="771" t="s">
        <v>272</v>
      </c>
      <c r="D57" s="772">
        <v>360</v>
      </c>
      <c r="E57" s="773" t="s">
        <v>228</v>
      </c>
      <c r="F57" s="774">
        <v>1440</v>
      </c>
      <c r="G57" s="775">
        <v>96</v>
      </c>
      <c r="H57" s="776" t="s">
        <v>229</v>
      </c>
      <c r="I57" s="777"/>
      <c r="J57" s="794" t="s">
        <v>243</v>
      </c>
      <c r="K57" s="779"/>
      <c r="L57" s="780">
        <f t="shared" si="0"/>
        <v>0</v>
      </c>
      <c r="M57" s="781">
        <v>96</v>
      </c>
      <c r="N57" s="774">
        <f t="shared" si="1"/>
        <v>0</v>
      </c>
      <c r="O57" s="786"/>
      <c r="P57" s="783">
        <f t="shared" si="2"/>
        <v>0</v>
      </c>
      <c r="Q57" s="781"/>
      <c r="R57" s="490">
        <f t="shared" si="3"/>
        <v>0</v>
      </c>
      <c r="S57" s="97">
        <f t="shared" si="4"/>
        <v>0</v>
      </c>
      <c r="T57" s="97">
        <f t="shared" si="5"/>
        <v>0</v>
      </c>
      <c r="U57" s="144" t="s">
        <v>81</v>
      </c>
      <c r="V57" s="145" t="s">
        <v>82</v>
      </c>
      <c r="W57" s="796">
        <f t="shared" si="7"/>
        <v>4</v>
      </c>
      <c r="X57" s="91"/>
    </row>
    <row r="58" spans="2:25" ht="16.2" x14ac:dyDescent="0.45">
      <c r="B58" s="770">
        <v>55</v>
      </c>
      <c r="C58" s="771" t="s">
        <v>273</v>
      </c>
      <c r="D58" s="772">
        <v>216</v>
      </c>
      <c r="E58" s="773" t="s">
        <v>228</v>
      </c>
      <c r="F58" s="781">
        <v>1708</v>
      </c>
      <c r="G58" s="789">
        <v>190</v>
      </c>
      <c r="H58" s="776" t="s">
        <v>224</v>
      </c>
      <c r="I58" s="777"/>
      <c r="J58" s="794" t="s">
        <v>243</v>
      </c>
      <c r="K58" s="779"/>
      <c r="L58" s="780">
        <f t="shared" si="0"/>
        <v>0</v>
      </c>
      <c r="M58" s="781">
        <v>200</v>
      </c>
      <c r="N58" s="774">
        <f t="shared" si="1"/>
        <v>0</v>
      </c>
      <c r="O58" s="786"/>
      <c r="P58" s="783">
        <f t="shared" si="2"/>
        <v>0</v>
      </c>
      <c r="Q58" s="781"/>
      <c r="R58" s="490">
        <f t="shared" si="3"/>
        <v>0</v>
      </c>
      <c r="S58" s="97">
        <f t="shared" si="4"/>
        <v>0</v>
      </c>
      <c r="T58" s="97">
        <f t="shared" si="5"/>
        <v>0</v>
      </c>
      <c r="U58" s="144" t="s">
        <v>271</v>
      </c>
      <c r="V58" s="145" t="s">
        <v>82</v>
      </c>
      <c r="W58" s="796">
        <f t="shared" si="7"/>
        <v>7.9074074074074074</v>
      </c>
      <c r="X58" s="91"/>
    </row>
    <row r="59" spans="2:25" ht="21" customHeight="1" x14ac:dyDescent="0.45">
      <c r="B59" s="174"/>
      <c r="C59" s="175"/>
      <c r="D59" s="148"/>
      <c r="E59" s="149"/>
      <c r="F59" s="150"/>
      <c r="G59" s="151"/>
      <c r="H59" s="152"/>
      <c r="I59" s="176"/>
      <c r="J59" s="153"/>
      <c r="K59" s="177"/>
      <c r="L59" s="909" t="s">
        <v>246</v>
      </c>
      <c r="M59" s="910"/>
      <c r="N59" s="353">
        <f>SUM(N4:N58)</f>
        <v>0</v>
      </c>
      <c r="O59" s="354" t="s">
        <v>327</v>
      </c>
      <c r="P59" s="487">
        <f>SUM(P4:P58)</f>
        <v>0</v>
      </c>
      <c r="Q59" s="283">
        <f>SUM(Q4:Q58)</f>
        <v>0</v>
      </c>
      <c r="R59" s="182">
        <f>SUM(R4:R58)</f>
        <v>0</v>
      </c>
      <c r="S59" s="182">
        <f>SUM(S4:S58)</f>
        <v>0</v>
      </c>
      <c r="T59" s="182">
        <f>SUM(T4:T58)</f>
        <v>0</v>
      </c>
      <c r="U59" s="182">
        <f>S59+T59</f>
        <v>0</v>
      </c>
      <c r="V59" s="182"/>
      <c r="W59" s="168"/>
      <c r="X59" s="91"/>
    </row>
    <row r="60" spans="2:25" ht="21.6" customHeight="1" x14ac:dyDescent="0.45">
      <c r="B60" s="178"/>
      <c r="C60" s="179"/>
      <c r="D60" s="913"/>
      <c r="E60" s="913"/>
      <c r="F60" s="916" t="s">
        <v>334</v>
      </c>
      <c r="G60" s="917"/>
      <c r="H60" s="917"/>
      <c r="I60" s="917"/>
      <c r="J60" s="917"/>
      <c r="K60" s="918"/>
      <c r="L60" s="914" t="s">
        <v>270</v>
      </c>
      <c r="M60" s="915"/>
      <c r="N60" s="687">
        <f>N59-P59</f>
        <v>0</v>
      </c>
      <c r="O60" s="101"/>
      <c r="P60" s="352"/>
      <c r="Q60" s="285" t="s">
        <v>121</v>
      </c>
      <c r="R60" s="182" t="s">
        <v>266</v>
      </c>
      <c r="S60" s="182" t="s">
        <v>267</v>
      </c>
      <c r="T60" s="182" t="s">
        <v>268</v>
      </c>
      <c r="U60" s="182"/>
      <c r="V60" s="182"/>
      <c r="W60" s="168"/>
      <c r="X60" s="91"/>
    </row>
    <row r="61" spans="2:25" ht="22.8" x14ac:dyDescent="0.4">
      <c r="B61" s="169"/>
      <c r="C61" s="386" t="s">
        <v>335</v>
      </c>
      <c r="D61" s="919" t="s">
        <v>122</v>
      </c>
      <c r="E61" s="919"/>
      <c r="F61" s="920">
        <f ca="1">TODAY()</f>
        <v>46291</v>
      </c>
      <c r="G61" s="920"/>
      <c r="H61" s="170"/>
      <c r="I61" s="923" t="s">
        <v>448</v>
      </c>
      <c r="J61" s="923"/>
      <c r="K61" s="924" t="s">
        <v>449</v>
      </c>
      <c r="L61" s="924"/>
      <c r="M61" s="138"/>
      <c r="N61" s="387" t="s">
        <v>123</v>
      </c>
      <c r="O61" s="338"/>
      <c r="P61" s="138"/>
      <c r="Q61" s="139"/>
      <c r="R61" s="276"/>
      <c r="S61" s="276"/>
      <c r="T61" s="277"/>
      <c r="U61" s="91"/>
      <c r="V61" s="91"/>
      <c r="W61" s="91"/>
      <c r="X61" s="91"/>
    </row>
    <row r="62" spans="2:25" ht="26.4" customHeight="1" x14ac:dyDescent="0.3">
      <c r="B62" s="216"/>
      <c r="C62" s="470" t="s">
        <v>214</v>
      </c>
      <c r="D62" s="925" t="s">
        <v>111</v>
      </c>
      <c r="E62" s="926"/>
      <c r="F62" s="471" t="s">
        <v>215</v>
      </c>
      <c r="G62" s="889" t="s">
        <v>216</v>
      </c>
      <c r="H62" s="890"/>
      <c r="I62" s="472"/>
      <c r="J62" s="473"/>
      <c r="K62" s="474"/>
      <c r="L62" s="475" t="s">
        <v>219</v>
      </c>
      <c r="M62" s="475" t="s">
        <v>220</v>
      </c>
      <c r="N62" s="476" t="s">
        <v>221</v>
      </c>
      <c r="O62" s="167" t="s">
        <v>222</v>
      </c>
      <c r="P62" s="478" t="s">
        <v>223</v>
      </c>
      <c r="Q62" s="479" t="s">
        <v>121</v>
      </c>
      <c r="R62" s="488" t="s">
        <v>264</v>
      </c>
      <c r="S62" s="274" t="s">
        <v>262</v>
      </c>
      <c r="T62" s="275" t="s">
        <v>265</v>
      </c>
      <c r="U62" s="98" t="s">
        <v>224</v>
      </c>
      <c r="V62" s="141" t="s">
        <v>524</v>
      </c>
      <c r="W62" s="141" t="s">
        <v>523</v>
      </c>
      <c r="X62" s="685" t="s">
        <v>364</v>
      </c>
      <c r="Y62" s="383" t="s">
        <v>377</v>
      </c>
    </row>
    <row r="63" spans="2:25" ht="19.95" customHeight="1" x14ac:dyDescent="0.55000000000000004">
      <c r="B63" s="510" t="s">
        <v>340</v>
      </c>
      <c r="C63" s="389" t="s">
        <v>357</v>
      </c>
      <c r="D63" s="385">
        <v>72</v>
      </c>
      <c r="E63" s="390"/>
      <c r="F63" s="391">
        <v>292</v>
      </c>
      <c r="G63" s="392">
        <v>4</v>
      </c>
      <c r="H63" s="395" t="s">
        <v>229</v>
      </c>
      <c r="I63" s="740">
        <v>2</v>
      </c>
      <c r="J63" s="415" t="s">
        <v>230</v>
      </c>
      <c r="K63" s="603"/>
      <c r="L63" s="394">
        <f>I63-K63</f>
        <v>2</v>
      </c>
      <c r="M63" s="393">
        <v>292</v>
      </c>
      <c r="N63" s="396">
        <f>L63*M63</f>
        <v>584</v>
      </c>
      <c r="O63" s="222"/>
      <c r="P63" s="397">
        <f>F63/D63*O63</f>
        <v>0</v>
      </c>
      <c r="Q63" s="391"/>
      <c r="R63" s="490">
        <f>M63*I63</f>
        <v>584</v>
      </c>
      <c r="S63" s="97">
        <f>M63*K63</f>
        <v>0</v>
      </c>
      <c r="T63" s="97">
        <f>M63*L63</f>
        <v>584</v>
      </c>
      <c r="U63" s="142"/>
      <c r="V63" s="99">
        <f>X63/D63</f>
        <v>3.8263888888888888</v>
      </c>
      <c r="W63" s="384">
        <f>Y63/D63</f>
        <v>4.0559722222222216</v>
      </c>
      <c r="X63" s="380">
        <v>275.5</v>
      </c>
      <c r="Y63" s="381">
        <f>X63*6/100+X63</f>
        <v>292.02999999999997</v>
      </c>
    </row>
    <row r="64" spans="2:25" ht="19.95" customHeight="1" x14ac:dyDescent="0.55000000000000004">
      <c r="B64" s="510" t="s">
        <v>340</v>
      </c>
      <c r="C64" s="377" t="s">
        <v>409</v>
      </c>
      <c r="D64" s="385">
        <v>48</v>
      </c>
      <c r="E64" s="390"/>
      <c r="F64" s="391">
        <v>576</v>
      </c>
      <c r="G64" s="392">
        <v>12</v>
      </c>
      <c r="H64" s="395" t="s">
        <v>229</v>
      </c>
      <c r="I64" s="740"/>
      <c r="J64" s="415" t="s">
        <v>230</v>
      </c>
      <c r="K64" s="743"/>
      <c r="L64" s="394">
        <f t="shared" ref="L64:L127" si="8">I64-K64</f>
        <v>0</v>
      </c>
      <c r="M64" s="393">
        <v>576</v>
      </c>
      <c r="N64" s="396">
        <f t="shared" ref="N64:N66" si="9">L64*M64</f>
        <v>0</v>
      </c>
      <c r="O64" s="222"/>
      <c r="P64" s="397">
        <f t="shared" ref="P64:P127" si="10">F64/D64*O64</f>
        <v>0</v>
      </c>
      <c r="Q64" s="391"/>
      <c r="R64" s="490">
        <f t="shared" ref="R64:R127" si="11">M64*I64</f>
        <v>0</v>
      </c>
      <c r="S64" s="97">
        <f t="shared" ref="S64:S127" si="12">M64*K64</f>
        <v>0</v>
      </c>
      <c r="T64" s="97">
        <f t="shared" ref="T64:T127" si="13">M64*L64</f>
        <v>0</v>
      </c>
      <c r="U64" s="142"/>
      <c r="V64" s="99">
        <f t="shared" ref="V64:V123" si="14">X64/D64</f>
        <v>11.320833333333333</v>
      </c>
      <c r="W64" s="384">
        <f t="shared" ref="W64:W123" si="15">Y64/D64</f>
        <v>12.000083333333334</v>
      </c>
      <c r="X64" s="380">
        <v>543.4</v>
      </c>
      <c r="Y64" s="381">
        <f t="shared" ref="Y64:Y141" si="16">X64*6/100+X64</f>
        <v>576.00400000000002</v>
      </c>
    </row>
    <row r="65" spans="2:27" ht="19.95" customHeight="1" x14ac:dyDescent="0.55000000000000004">
      <c r="B65" s="510" t="s">
        <v>340</v>
      </c>
      <c r="C65" s="389" t="s">
        <v>363</v>
      </c>
      <c r="D65" s="385">
        <v>24</v>
      </c>
      <c r="E65" s="390"/>
      <c r="F65" s="391">
        <v>390</v>
      </c>
      <c r="G65" s="392">
        <v>16.3</v>
      </c>
      <c r="H65" s="395" t="s">
        <v>229</v>
      </c>
      <c r="I65" s="740">
        <v>2</v>
      </c>
      <c r="J65" s="415" t="s">
        <v>230</v>
      </c>
      <c r="K65" s="603"/>
      <c r="L65" s="394">
        <f t="shared" si="8"/>
        <v>2</v>
      </c>
      <c r="M65" s="393">
        <v>396</v>
      </c>
      <c r="N65" s="396">
        <f t="shared" si="9"/>
        <v>792</v>
      </c>
      <c r="O65" s="222"/>
      <c r="P65" s="397">
        <f t="shared" si="10"/>
        <v>0</v>
      </c>
      <c r="Q65" s="391"/>
      <c r="R65" s="490">
        <f t="shared" si="11"/>
        <v>792</v>
      </c>
      <c r="S65" s="97">
        <f t="shared" si="12"/>
        <v>0</v>
      </c>
      <c r="T65" s="97">
        <f t="shared" si="13"/>
        <v>792</v>
      </c>
      <c r="U65" s="142"/>
      <c r="V65" s="99">
        <f t="shared" si="14"/>
        <v>15.566666666666668</v>
      </c>
      <c r="W65" s="384">
        <f t="shared" si="15"/>
        <v>16.500666666666667</v>
      </c>
      <c r="X65" s="380">
        <v>373.6</v>
      </c>
      <c r="Y65" s="381">
        <f t="shared" si="16"/>
        <v>396.01600000000002</v>
      </c>
    </row>
    <row r="66" spans="2:27" ht="19.95" customHeight="1" x14ac:dyDescent="0.55000000000000004">
      <c r="B66" s="510" t="s">
        <v>340</v>
      </c>
      <c r="C66" s="389" t="s">
        <v>339</v>
      </c>
      <c r="D66" s="385">
        <v>48</v>
      </c>
      <c r="E66" s="390"/>
      <c r="F66" s="391">
        <v>386</v>
      </c>
      <c r="G66" s="392">
        <v>8</v>
      </c>
      <c r="H66" s="395" t="s">
        <v>229</v>
      </c>
      <c r="I66" s="740"/>
      <c r="J66" s="415" t="s">
        <v>230</v>
      </c>
      <c r="K66" s="603"/>
      <c r="L66" s="394">
        <f t="shared" si="8"/>
        <v>0</v>
      </c>
      <c r="M66" s="393">
        <v>386</v>
      </c>
      <c r="N66" s="396">
        <f t="shared" si="9"/>
        <v>0</v>
      </c>
      <c r="O66" s="222"/>
      <c r="P66" s="397">
        <f t="shared" si="10"/>
        <v>0</v>
      </c>
      <c r="Q66" s="391"/>
      <c r="R66" s="490">
        <f t="shared" si="11"/>
        <v>0</v>
      </c>
      <c r="S66" s="97">
        <f t="shared" si="12"/>
        <v>0</v>
      </c>
      <c r="T66" s="97">
        <f t="shared" si="13"/>
        <v>0</v>
      </c>
      <c r="U66" s="142"/>
      <c r="V66" s="99">
        <f t="shared" si="14"/>
        <v>7.583333333333333</v>
      </c>
      <c r="W66" s="384">
        <f t="shared" si="15"/>
        <v>8.0383333333333322</v>
      </c>
      <c r="X66" s="380">
        <v>364</v>
      </c>
      <c r="Y66" s="381">
        <f t="shared" si="16"/>
        <v>385.84</v>
      </c>
    </row>
    <row r="67" spans="2:27" ht="19.95" customHeight="1" x14ac:dyDescent="0.55000000000000004">
      <c r="B67" s="510" t="s">
        <v>340</v>
      </c>
      <c r="C67" s="378" t="s">
        <v>444</v>
      </c>
      <c r="D67" s="385">
        <v>36</v>
      </c>
      <c r="E67" s="390"/>
      <c r="F67" s="391">
        <v>288</v>
      </c>
      <c r="G67" s="392">
        <v>85</v>
      </c>
      <c r="H67" s="395" t="s">
        <v>229</v>
      </c>
      <c r="I67" s="740"/>
      <c r="J67" s="415" t="s">
        <v>230</v>
      </c>
      <c r="K67" s="603"/>
      <c r="L67" s="394">
        <f>I67-K67</f>
        <v>0</v>
      </c>
      <c r="M67" s="393">
        <v>288</v>
      </c>
      <c r="N67" s="396">
        <f>L67*M67</f>
        <v>0</v>
      </c>
      <c r="O67" s="222"/>
      <c r="P67" s="397">
        <f t="shared" si="10"/>
        <v>0</v>
      </c>
      <c r="Q67" s="391"/>
      <c r="R67" s="490">
        <f t="shared" si="11"/>
        <v>0</v>
      </c>
      <c r="S67" s="97">
        <f t="shared" si="12"/>
        <v>0</v>
      </c>
      <c r="T67" s="97">
        <f t="shared" si="13"/>
        <v>0</v>
      </c>
      <c r="U67" s="142"/>
      <c r="V67" s="99">
        <f t="shared" si="14"/>
        <v>7.5472222222222216</v>
      </c>
      <c r="W67" s="384">
        <f t="shared" si="15"/>
        <v>8.000055555555555</v>
      </c>
      <c r="X67" s="418">
        <v>271.7</v>
      </c>
      <c r="Y67" s="419">
        <f>X67*6/100+X67</f>
        <v>288.00200000000001</v>
      </c>
    </row>
    <row r="68" spans="2:27" ht="19.95" customHeight="1" x14ac:dyDescent="0.55000000000000004">
      <c r="B68" s="510" t="s">
        <v>340</v>
      </c>
      <c r="C68" s="377" t="s">
        <v>370</v>
      </c>
      <c r="D68" s="385">
        <v>8</v>
      </c>
      <c r="E68" s="390"/>
      <c r="F68" s="391">
        <v>680</v>
      </c>
      <c r="G68" s="392">
        <v>85</v>
      </c>
      <c r="H68" s="395" t="s">
        <v>232</v>
      </c>
      <c r="I68" s="740">
        <v>32</v>
      </c>
      <c r="J68" s="415" t="s">
        <v>231</v>
      </c>
      <c r="K68" s="603"/>
      <c r="L68" s="394">
        <f t="shared" si="8"/>
        <v>32</v>
      </c>
      <c r="M68" s="523">
        <v>85</v>
      </c>
      <c r="N68" s="396">
        <f t="shared" ref="N68" si="17">L68*M68</f>
        <v>2720</v>
      </c>
      <c r="O68" s="112"/>
      <c r="P68" s="397">
        <f t="shared" si="10"/>
        <v>0</v>
      </c>
      <c r="Q68" s="391"/>
      <c r="R68" s="490">
        <f t="shared" si="11"/>
        <v>2720</v>
      </c>
      <c r="S68" s="97">
        <f t="shared" si="12"/>
        <v>0</v>
      </c>
      <c r="T68" s="97">
        <f t="shared" si="13"/>
        <v>2720</v>
      </c>
      <c r="U68" s="142"/>
      <c r="V68" s="99">
        <f t="shared" si="14"/>
        <v>80.125</v>
      </c>
      <c r="W68" s="384">
        <f t="shared" si="15"/>
        <v>84.932500000000005</v>
      </c>
      <c r="X68" s="380">
        <v>641</v>
      </c>
      <c r="Y68" s="381">
        <f t="shared" si="16"/>
        <v>679.46</v>
      </c>
    </row>
    <row r="69" spans="2:27" ht="19.95" customHeight="1" x14ac:dyDescent="0.55000000000000004">
      <c r="B69" s="513" t="s">
        <v>343</v>
      </c>
      <c r="C69" s="693" t="s">
        <v>418</v>
      </c>
      <c r="D69" s="385">
        <v>72</v>
      </c>
      <c r="E69" s="390"/>
      <c r="F69" s="391">
        <v>275</v>
      </c>
      <c r="G69" s="392">
        <v>4</v>
      </c>
      <c r="H69" s="395" t="s">
        <v>229</v>
      </c>
      <c r="I69" s="740"/>
      <c r="J69" s="415" t="s">
        <v>230</v>
      </c>
      <c r="K69" s="603"/>
      <c r="L69" s="394">
        <f t="shared" ref="L69" si="18">I69-K69</f>
        <v>0</v>
      </c>
      <c r="M69" s="393">
        <v>277</v>
      </c>
      <c r="N69" s="396">
        <f t="shared" ref="N69" si="19">L69*M69</f>
        <v>0</v>
      </c>
      <c r="O69" s="112"/>
      <c r="P69" s="397">
        <f>F69/D69*O69</f>
        <v>0</v>
      </c>
      <c r="Q69" s="391"/>
      <c r="R69" s="490">
        <f>M69*I69</f>
        <v>0</v>
      </c>
      <c r="S69" s="97">
        <f>M69*K69</f>
        <v>0</v>
      </c>
      <c r="T69" s="97">
        <f>M69*L69</f>
        <v>0</v>
      </c>
      <c r="U69" s="142"/>
      <c r="V69" s="99">
        <f t="shared" si="14"/>
        <v>3.6111111111111112</v>
      </c>
      <c r="W69" s="384">
        <f t="shared" si="15"/>
        <v>3.8277777777777779</v>
      </c>
      <c r="X69" s="380">
        <v>260</v>
      </c>
      <c r="Y69" s="381">
        <f t="shared" ref="Y69" si="20">X69*6/100+X69</f>
        <v>275.60000000000002</v>
      </c>
    </row>
    <row r="70" spans="2:27" ht="19.95" customHeight="1" x14ac:dyDescent="0.55000000000000004">
      <c r="B70" s="513"/>
      <c r="C70" s="757" t="s">
        <v>517</v>
      </c>
      <c r="D70" s="385">
        <v>24</v>
      </c>
      <c r="E70" s="390"/>
      <c r="F70" s="391">
        <v>383</v>
      </c>
      <c r="G70" s="392">
        <v>16</v>
      </c>
      <c r="H70" s="395" t="s">
        <v>229</v>
      </c>
      <c r="I70" s="740"/>
      <c r="J70" s="415" t="s">
        <v>230</v>
      </c>
      <c r="K70" s="603"/>
      <c r="L70" s="394">
        <f t="shared" ref="L70" si="21">I70-K70</f>
        <v>0</v>
      </c>
      <c r="M70" s="393">
        <v>384</v>
      </c>
      <c r="N70" s="396">
        <f t="shared" ref="N70" si="22">L70*M70</f>
        <v>0</v>
      </c>
      <c r="O70" s="112"/>
      <c r="P70" s="397">
        <f>F70/D70*O70</f>
        <v>0</v>
      </c>
      <c r="Q70" s="391"/>
      <c r="R70" s="490">
        <f>M70*I70</f>
        <v>0</v>
      </c>
      <c r="S70" s="97">
        <f>M70*K70</f>
        <v>0</v>
      </c>
      <c r="T70" s="97">
        <f>M70*L70</f>
        <v>0</v>
      </c>
      <c r="U70" s="142"/>
      <c r="V70" s="99">
        <f t="shared" si="14"/>
        <v>15.083333333333334</v>
      </c>
      <c r="W70" s="384">
        <f t="shared" si="15"/>
        <v>15.988333333333335</v>
      </c>
      <c r="X70" s="380">
        <v>362</v>
      </c>
      <c r="Y70" s="381">
        <f t="shared" ref="Y70:Y71" si="23">X70*6/100+X70</f>
        <v>383.72</v>
      </c>
    </row>
    <row r="71" spans="2:27" ht="19.95" customHeight="1" x14ac:dyDescent="0.55000000000000004">
      <c r="B71" s="513"/>
      <c r="C71" s="803" t="s">
        <v>529</v>
      </c>
      <c r="D71" s="385">
        <v>8</v>
      </c>
      <c r="E71" s="390"/>
      <c r="F71" s="391">
        <v>335</v>
      </c>
      <c r="G71" s="392">
        <v>42</v>
      </c>
      <c r="H71" s="395" t="s">
        <v>229</v>
      </c>
      <c r="I71" s="740"/>
      <c r="J71" s="415" t="s">
        <v>230</v>
      </c>
      <c r="K71" s="603"/>
      <c r="L71" s="394">
        <f t="shared" ref="L71" si="24">I71-K71</f>
        <v>0</v>
      </c>
      <c r="M71" s="393">
        <v>335</v>
      </c>
      <c r="N71" s="396">
        <f t="shared" ref="N71" si="25">L71*M71</f>
        <v>0</v>
      </c>
      <c r="O71" s="112"/>
      <c r="P71" s="397">
        <f>F71/D71*O71</f>
        <v>0</v>
      </c>
      <c r="Q71" s="391"/>
      <c r="R71" s="490"/>
      <c r="S71" s="97"/>
      <c r="T71" s="97"/>
      <c r="U71" s="142"/>
      <c r="V71" s="99">
        <f t="shared" si="14"/>
        <v>39.625</v>
      </c>
      <c r="W71" s="384">
        <f t="shared" si="15"/>
        <v>42.002499999999998</v>
      </c>
      <c r="X71" s="380">
        <v>317</v>
      </c>
      <c r="Y71" s="381">
        <f t="shared" si="23"/>
        <v>336.02</v>
      </c>
    </row>
    <row r="72" spans="2:27" ht="19.95" customHeight="1" x14ac:dyDescent="0.55000000000000004">
      <c r="B72" s="511" t="s">
        <v>414</v>
      </c>
      <c r="C72" s="693" t="s">
        <v>369</v>
      </c>
      <c r="D72" s="385">
        <v>96</v>
      </c>
      <c r="E72" s="390"/>
      <c r="F72" s="391">
        <v>384</v>
      </c>
      <c r="G72" s="392">
        <v>96</v>
      </c>
      <c r="H72" s="395" t="s">
        <v>224</v>
      </c>
      <c r="I72" s="740"/>
      <c r="J72" s="415" t="s">
        <v>224</v>
      </c>
      <c r="K72" s="603"/>
      <c r="L72" s="394">
        <f>I72-K72</f>
        <v>0</v>
      </c>
      <c r="M72" s="393">
        <v>96</v>
      </c>
      <c r="N72" s="396">
        <f>L72*M72</f>
        <v>0</v>
      </c>
      <c r="O72" s="112"/>
      <c r="P72" s="397">
        <f>F72/D72*O72</f>
        <v>0</v>
      </c>
      <c r="Q72" s="391"/>
      <c r="R72" s="490">
        <f>M72*I72</f>
        <v>0</v>
      </c>
      <c r="S72" s="97">
        <f>M72*K72</f>
        <v>0</v>
      </c>
      <c r="T72" s="97">
        <f>M72*L72</f>
        <v>0</v>
      </c>
      <c r="U72" s="142"/>
      <c r="V72" s="99">
        <f t="shared" si="14"/>
        <v>3.7735416666666666</v>
      </c>
      <c r="W72" s="384">
        <f t="shared" si="15"/>
        <v>3.9999541666666665</v>
      </c>
      <c r="X72" s="380">
        <v>362.26</v>
      </c>
      <c r="Y72" s="381">
        <f>X72*6/100+X72</f>
        <v>383.99559999999997</v>
      </c>
    </row>
    <row r="73" spans="2:27" ht="19.95" customHeight="1" x14ac:dyDescent="0.55000000000000004">
      <c r="B73" s="515" t="s">
        <v>342</v>
      </c>
      <c r="C73" s="547" t="s">
        <v>368</v>
      </c>
      <c r="D73" s="517">
        <v>1080</v>
      </c>
      <c r="E73" s="518"/>
      <c r="F73" s="388">
        <v>1560</v>
      </c>
      <c r="G73" s="519">
        <v>260</v>
      </c>
      <c r="H73" s="520" t="s">
        <v>371</v>
      </c>
      <c r="I73" s="603"/>
      <c r="J73" s="521" t="s">
        <v>378</v>
      </c>
      <c r="K73" s="603"/>
      <c r="L73" s="522">
        <f t="shared" ref="L73:L90" si="26">I73-K73</f>
        <v>0</v>
      </c>
      <c r="M73" s="523">
        <v>260</v>
      </c>
      <c r="N73" s="524">
        <f t="shared" ref="N73:N90" si="27">L73*M73</f>
        <v>0</v>
      </c>
      <c r="O73" s="525"/>
      <c r="P73" s="647">
        <f t="shared" si="10"/>
        <v>0</v>
      </c>
      <c r="Q73" s="388"/>
      <c r="R73" s="490">
        <f t="shared" ref="R73:R101" si="28">M73*I73</f>
        <v>0</v>
      </c>
      <c r="S73" s="97">
        <f t="shared" ref="S73:S101" si="29">M73*K73</f>
        <v>0</v>
      </c>
      <c r="T73" s="97">
        <f t="shared" ref="T73:T101" si="30">M73*L73</f>
        <v>0</v>
      </c>
      <c r="U73" s="526"/>
      <c r="V73" s="99">
        <f t="shared" si="14"/>
        <v>1.3626851851851853</v>
      </c>
      <c r="W73" s="384">
        <f t="shared" si="15"/>
        <v>1.4444462962962963</v>
      </c>
      <c r="X73" s="527">
        <v>1471.7</v>
      </c>
      <c r="Y73" s="528">
        <f t="shared" ref="Y73:Y90" si="31">X73*6/100+X73</f>
        <v>1560.002</v>
      </c>
      <c r="Z73" s="570" t="s">
        <v>421</v>
      </c>
    </row>
    <row r="74" spans="2:27" ht="19.95" customHeight="1" x14ac:dyDescent="0.55000000000000004">
      <c r="B74" s="515" t="s">
        <v>342</v>
      </c>
      <c r="C74" s="377" t="s">
        <v>373</v>
      </c>
      <c r="D74" s="385">
        <v>1080</v>
      </c>
      <c r="E74" s="390"/>
      <c r="F74" s="391">
        <v>1560</v>
      </c>
      <c r="G74" s="392">
        <v>260</v>
      </c>
      <c r="H74" s="395" t="s">
        <v>245</v>
      </c>
      <c r="I74" s="740"/>
      <c r="J74" s="415" t="s">
        <v>378</v>
      </c>
      <c r="K74" s="603"/>
      <c r="L74" s="394">
        <f t="shared" si="26"/>
        <v>0</v>
      </c>
      <c r="M74" s="393">
        <v>260</v>
      </c>
      <c r="N74" s="396">
        <f t="shared" si="27"/>
        <v>0</v>
      </c>
      <c r="O74" s="112"/>
      <c r="P74" s="397">
        <f t="shared" si="10"/>
        <v>0</v>
      </c>
      <c r="Q74" s="399"/>
      <c r="R74" s="490">
        <f t="shared" si="28"/>
        <v>0</v>
      </c>
      <c r="S74" s="97">
        <f t="shared" si="29"/>
        <v>0</v>
      </c>
      <c r="T74" s="97">
        <f t="shared" si="30"/>
        <v>0</v>
      </c>
      <c r="U74" s="142"/>
      <c r="V74" s="99">
        <f t="shared" si="14"/>
        <v>1.3626851851851853</v>
      </c>
      <c r="W74" s="384">
        <f t="shared" si="15"/>
        <v>1.4444462962962963</v>
      </c>
      <c r="X74" s="380">
        <v>1471.7</v>
      </c>
      <c r="Y74" s="381">
        <f t="shared" si="31"/>
        <v>1560.002</v>
      </c>
      <c r="Z74" s="570" t="s">
        <v>421</v>
      </c>
    </row>
    <row r="75" spans="2:27" ht="19.95" customHeight="1" x14ac:dyDescent="0.55000000000000004">
      <c r="B75" s="515" t="s">
        <v>342</v>
      </c>
      <c r="C75" s="457" t="s">
        <v>384</v>
      </c>
      <c r="D75" s="447">
        <v>1080</v>
      </c>
      <c r="E75" s="448"/>
      <c r="F75" s="449">
        <v>1560</v>
      </c>
      <c r="G75" s="392">
        <v>260</v>
      </c>
      <c r="H75" s="450" t="s">
        <v>229</v>
      </c>
      <c r="I75" s="740"/>
      <c r="J75" s="451" t="s">
        <v>378</v>
      </c>
      <c r="K75" s="603"/>
      <c r="L75" s="452">
        <f t="shared" si="26"/>
        <v>0</v>
      </c>
      <c r="M75" s="393">
        <v>260</v>
      </c>
      <c r="N75" s="396">
        <f t="shared" si="27"/>
        <v>0</v>
      </c>
      <c r="O75" s="453"/>
      <c r="P75" s="397">
        <f t="shared" si="10"/>
        <v>0</v>
      </c>
      <c r="Q75" s="449"/>
      <c r="R75" s="490">
        <f t="shared" si="28"/>
        <v>0</v>
      </c>
      <c r="S75" s="97">
        <f t="shared" si="29"/>
        <v>0</v>
      </c>
      <c r="T75" s="97">
        <f t="shared" si="30"/>
        <v>0</v>
      </c>
      <c r="U75" s="454"/>
      <c r="V75" s="99">
        <f t="shared" si="14"/>
        <v>1.3626851851851853</v>
      </c>
      <c r="W75" s="384">
        <f t="shared" si="15"/>
        <v>1.4444462962962963</v>
      </c>
      <c r="X75" s="455">
        <v>1471.7</v>
      </c>
      <c r="Y75" s="456">
        <f t="shared" si="31"/>
        <v>1560.002</v>
      </c>
      <c r="Z75" s="570" t="s">
        <v>421</v>
      </c>
    </row>
    <row r="76" spans="2:27" ht="19.95" customHeight="1" x14ac:dyDescent="0.55000000000000004">
      <c r="B76" s="515" t="s">
        <v>342</v>
      </c>
      <c r="C76" s="389" t="s">
        <v>376</v>
      </c>
      <c r="D76" s="385">
        <v>720</v>
      </c>
      <c r="E76" s="390"/>
      <c r="F76" s="391">
        <v>1050</v>
      </c>
      <c r="G76" s="392">
        <v>175</v>
      </c>
      <c r="H76" s="395" t="s">
        <v>245</v>
      </c>
      <c r="I76" s="740"/>
      <c r="J76" s="415" t="s">
        <v>378</v>
      </c>
      <c r="K76" s="603"/>
      <c r="L76" s="394">
        <f t="shared" si="26"/>
        <v>0</v>
      </c>
      <c r="M76" s="393">
        <v>175</v>
      </c>
      <c r="N76" s="396">
        <f t="shared" si="27"/>
        <v>0</v>
      </c>
      <c r="O76" s="112"/>
      <c r="P76" s="397">
        <f t="shared" si="10"/>
        <v>0</v>
      </c>
      <c r="Q76" s="391"/>
      <c r="R76" s="490">
        <f t="shared" si="28"/>
        <v>0</v>
      </c>
      <c r="S76" s="97">
        <f t="shared" si="29"/>
        <v>0</v>
      </c>
      <c r="T76" s="97">
        <f t="shared" si="30"/>
        <v>0</v>
      </c>
      <c r="U76" s="142"/>
      <c r="V76" s="99">
        <f t="shared" si="14"/>
        <v>1.3758333333333335</v>
      </c>
      <c r="W76" s="384">
        <f t="shared" si="15"/>
        <v>1.4583833333333334</v>
      </c>
      <c r="X76" s="380">
        <v>990.6</v>
      </c>
      <c r="Y76" s="381">
        <f t="shared" si="31"/>
        <v>1050.0360000000001</v>
      </c>
      <c r="Z76" s="570" t="s">
        <v>420</v>
      </c>
    </row>
    <row r="77" spans="2:27" ht="19.95" customHeight="1" x14ac:dyDescent="0.55000000000000004">
      <c r="B77" s="515" t="s">
        <v>342</v>
      </c>
      <c r="C77" s="389" t="s">
        <v>509</v>
      </c>
      <c r="D77" s="385">
        <v>192</v>
      </c>
      <c r="E77" s="390"/>
      <c r="F77" s="391">
        <v>730</v>
      </c>
      <c r="G77" s="392">
        <v>192</v>
      </c>
      <c r="H77" s="395" t="s">
        <v>224</v>
      </c>
      <c r="I77" s="740"/>
      <c r="J77" s="395" t="s">
        <v>224</v>
      </c>
      <c r="K77" s="603"/>
      <c r="L77" s="394">
        <f t="shared" si="26"/>
        <v>0</v>
      </c>
      <c r="M77" s="393">
        <v>192</v>
      </c>
      <c r="N77" s="396">
        <f t="shared" si="27"/>
        <v>0</v>
      </c>
      <c r="O77" s="112"/>
      <c r="P77" s="397">
        <f t="shared" si="10"/>
        <v>0</v>
      </c>
      <c r="Q77" s="391"/>
      <c r="R77" s="490">
        <f t="shared" si="28"/>
        <v>0</v>
      </c>
      <c r="S77" s="97">
        <f t="shared" si="29"/>
        <v>0</v>
      </c>
      <c r="T77" s="97">
        <f t="shared" si="30"/>
        <v>0</v>
      </c>
      <c r="U77" s="142"/>
      <c r="V77" s="99">
        <f t="shared" si="14"/>
        <v>3.5864583333333333</v>
      </c>
      <c r="W77" s="384">
        <f t="shared" si="15"/>
        <v>3.8016458333333336</v>
      </c>
      <c r="X77" s="380">
        <v>688.6</v>
      </c>
      <c r="Y77" s="381">
        <f t="shared" si="31"/>
        <v>729.91600000000005</v>
      </c>
      <c r="Z77" s="570" t="s">
        <v>381</v>
      </c>
      <c r="AA77" t="s">
        <v>408</v>
      </c>
    </row>
    <row r="78" spans="2:27" ht="19.95" customHeight="1" x14ac:dyDescent="0.55000000000000004">
      <c r="B78" s="515" t="s">
        <v>342</v>
      </c>
      <c r="C78" s="389" t="s">
        <v>494</v>
      </c>
      <c r="D78" s="385">
        <v>192</v>
      </c>
      <c r="E78" s="390"/>
      <c r="F78" s="391">
        <v>730</v>
      </c>
      <c r="G78" s="392">
        <v>185</v>
      </c>
      <c r="H78" s="395" t="s">
        <v>224</v>
      </c>
      <c r="I78" s="740"/>
      <c r="J78" s="395" t="s">
        <v>224</v>
      </c>
      <c r="K78" s="603"/>
      <c r="L78" s="394">
        <f t="shared" si="26"/>
        <v>0</v>
      </c>
      <c r="M78" s="393">
        <v>185</v>
      </c>
      <c r="N78" s="396">
        <f t="shared" si="27"/>
        <v>0</v>
      </c>
      <c r="O78" s="112"/>
      <c r="P78" s="397">
        <f t="shared" si="10"/>
        <v>0</v>
      </c>
      <c r="Q78" s="391"/>
      <c r="R78" s="490">
        <f t="shared" si="28"/>
        <v>0</v>
      </c>
      <c r="S78" s="97">
        <f t="shared" si="29"/>
        <v>0</v>
      </c>
      <c r="T78" s="97">
        <f t="shared" si="30"/>
        <v>0</v>
      </c>
      <c r="U78" s="591"/>
      <c r="V78" s="99">
        <f t="shared" si="14"/>
        <v>3.5868749999999996</v>
      </c>
      <c r="W78" s="384">
        <f t="shared" si="15"/>
        <v>3.8020874999999994</v>
      </c>
      <c r="X78" s="592">
        <v>688.68</v>
      </c>
      <c r="Y78" s="55">
        <f t="shared" si="31"/>
        <v>730.00079999999991</v>
      </c>
      <c r="Z78" s="593" t="s">
        <v>413</v>
      </c>
      <c r="AA78" s="594" t="s">
        <v>408</v>
      </c>
    </row>
    <row r="79" spans="2:27" ht="19.95" customHeight="1" x14ac:dyDescent="0.55000000000000004">
      <c r="B79" s="529" t="s">
        <v>352</v>
      </c>
      <c r="C79" s="530" t="s">
        <v>359</v>
      </c>
      <c r="D79" s="531">
        <v>6</v>
      </c>
      <c r="E79" s="532"/>
      <c r="F79" s="533">
        <v>299</v>
      </c>
      <c r="G79" s="534">
        <v>48</v>
      </c>
      <c r="H79" s="446" t="s">
        <v>443</v>
      </c>
      <c r="I79" s="740"/>
      <c r="J79" s="535" t="s">
        <v>230</v>
      </c>
      <c r="K79" s="603"/>
      <c r="L79" s="536">
        <f t="shared" si="26"/>
        <v>0</v>
      </c>
      <c r="M79" s="475">
        <v>300</v>
      </c>
      <c r="N79" s="537">
        <f t="shared" si="27"/>
        <v>0</v>
      </c>
      <c r="O79" s="538"/>
      <c r="P79" s="647">
        <f t="shared" si="10"/>
        <v>0</v>
      </c>
      <c r="Q79" s="533"/>
      <c r="R79" s="490">
        <f t="shared" si="28"/>
        <v>0</v>
      </c>
      <c r="S79" s="97">
        <f t="shared" si="29"/>
        <v>0</v>
      </c>
      <c r="T79" s="97">
        <f t="shared" si="30"/>
        <v>0</v>
      </c>
      <c r="U79" s="539"/>
      <c r="V79" s="99">
        <f t="shared" si="14"/>
        <v>47.166666666666664</v>
      </c>
      <c r="W79" s="384">
        <f t="shared" si="15"/>
        <v>49.99666666666667</v>
      </c>
      <c r="X79" s="540">
        <v>283</v>
      </c>
      <c r="Y79" s="541">
        <f t="shared" si="31"/>
        <v>299.98</v>
      </c>
      <c r="AA79" s="594"/>
    </row>
    <row r="80" spans="2:27" ht="19.95" customHeight="1" x14ac:dyDescent="0.55000000000000004">
      <c r="B80" s="510" t="s">
        <v>352</v>
      </c>
      <c r="C80" s="389" t="s">
        <v>375</v>
      </c>
      <c r="D80" s="385">
        <v>48</v>
      </c>
      <c r="E80" s="390"/>
      <c r="F80" s="391">
        <v>204</v>
      </c>
      <c r="G80" s="392">
        <v>4.2</v>
      </c>
      <c r="H80" s="395" t="s">
        <v>233</v>
      </c>
      <c r="I80" s="740">
        <v>1</v>
      </c>
      <c r="J80" s="415" t="s">
        <v>230</v>
      </c>
      <c r="K80" s="603"/>
      <c r="L80" s="394">
        <f t="shared" si="26"/>
        <v>1</v>
      </c>
      <c r="M80" s="393">
        <v>204</v>
      </c>
      <c r="N80" s="396">
        <f t="shared" si="27"/>
        <v>204</v>
      </c>
      <c r="O80" s="112"/>
      <c r="P80" s="397">
        <f t="shared" si="10"/>
        <v>0</v>
      </c>
      <c r="Q80" s="391"/>
      <c r="R80" s="490">
        <f t="shared" si="28"/>
        <v>204</v>
      </c>
      <c r="S80" s="97">
        <f t="shared" si="29"/>
        <v>0</v>
      </c>
      <c r="T80" s="97">
        <f t="shared" si="30"/>
        <v>204</v>
      </c>
      <c r="U80" s="142"/>
      <c r="V80" s="99">
        <f t="shared" si="14"/>
        <v>4.0093749999999995</v>
      </c>
      <c r="W80" s="384">
        <f t="shared" si="15"/>
        <v>4.2499374999999997</v>
      </c>
      <c r="X80" s="380">
        <v>192.45</v>
      </c>
      <c r="Y80" s="381">
        <f t="shared" si="31"/>
        <v>203.99699999999999</v>
      </c>
      <c r="AA80" s="594"/>
    </row>
    <row r="81" spans="2:28" ht="19.95" customHeight="1" x14ac:dyDescent="0.55000000000000004">
      <c r="B81" s="510" t="s">
        <v>352</v>
      </c>
      <c r="C81" s="389" t="s">
        <v>353</v>
      </c>
      <c r="D81" s="385">
        <v>6</v>
      </c>
      <c r="E81" s="390"/>
      <c r="F81" s="391">
        <v>288</v>
      </c>
      <c r="G81" s="392">
        <v>47.5</v>
      </c>
      <c r="H81" s="395" t="s">
        <v>229</v>
      </c>
      <c r="I81" s="740"/>
      <c r="J81" s="415" t="s">
        <v>230</v>
      </c>
      <c r="K81" s="603"/>
      <c r="L81" s="394">
        <f t="shared" si="26"/>
        <v>0</v>
      </c>
      <c r="M81" s="393">
        <v>288</v>
      </c>
      <c r="N81" s="396">
        <f t="shared" si="27"/>
        <v>0</v>
      </c>
      <c r="O81" s="112"/>
      <c r="P81" s="397">
        <f t="shared" si="10"/>
        <v>0</v>
      </c>
      <c r="Q81" s="391"/>
      <c r="R81" s="490">
        <f t="shared" si="28"/>
        <v>0</v>
      </c>
      <c r="S81" s="97">
        <f t="shared" si="29"/>
        <v>0</v>
      </c>
      <c r="T81" s="97">
        <f t="shared" si="30"/>
        <v>0</v>
      </c>
      <c r="U81" s="142"/>
      <c r="V81" s="99">
        <f t="shared" si="14"/>
        <v>45.333333333333336</v>
      </c>
      <c r="W81" s="384">
        <f t="shared" si="15"/>
        <v>48.053333333333335</v>
      </c>
      <c r="X81" s="380">
        <v>272</v>
      </c>
      <c r="Y81" s="381">
        <f t="shared" si="31"/>
        <v>288.32</v>
      </c>
      <c r="AA81" s="594"/>
    </row>
    <row r="82" spans="2:28" ht="19.95" customHeight="1" x14ac:dyDescent="0.55000000000000004">
      <c r="B82" s="510" t="s">
        <v>352</v>
      </c>
      <c r="C82" s="389" t="s">
        <v>366</v>
      </c>
      <c r="D82" s="385">
        <v>48</v>
      </c>
      <c r="E82" s="390"/>
      <c r="F82" s="391">
        <v>383</v>
      </c>
      <c r="G82" s="392">
        <v>8</v>
      </c>
      <c r="H82" s="395" t="s">
        <v>229</v>
      </c>
      <c r="I82" s="740">
        <v>1</v>
      </c>
      <c r="J82" s="415" t="s">
        <v>230</v>
      </c>
      <c r="K82" s="603"/>
      <c r="L82" s="394">
        <f t="shared" si="26"/>
        <v>1</v>
      </c>
      <c r="M82" s="393">
        <v>385</v>
      </c>
      <c r="N82" s="396">
        <f t="shared" si="27"/>
        <v>385</v>
      </c>
      <c r="O82" s="112"/>
      <c r="P82" s="397">
        <f t="shared" si="10"/>
        <v>0</v>
      </c>
      <c r="Q82" s="391"/>
      <c r="R82" s="490">
        <f t="shared" si="28"/>
        <v>385</v>
      </c>
      <c r="S82" s="97">
        <f t="shared" si="29"/>
        <v>0</v>
      </c>
      <c r="T82" s="97">
        <f t="shared" si="30"/>
        <v>385</v>
      </c>
      <c r="U82" s="142"/>
      <c r="V82" s="99">
        <f t="shared" si="14"/>
        <v>7.546875</v>
      </c>
      <c r="W82" s="384">
        <f t="shared" si="15"/>
        <v>7.9996875000000003</v>
      </c>
      <c r="X82" s="380">
        <v>362.25</v>
      </c>
      <c r="Y82" s="381">
        <f t="shared" si="31"/>
        <v>383.98500000000001</v>
      </c>
      <c r="AA82" s="594"/>
    </row>
    <row r="83" spans="2:28" ht="19.95" customHeight="1" x14ac:dyDescent="0.55000000000000004">
      <c r="B83" s="510" t="s">
        <v>352</v>
      </c>
      <c r="C83" s="389" t="s">
        <v>361</v>
      </c>
      <c r="D83" s="385">
        <v>6</v>
      </c>
      <c r="E83" s="390"/>
      <c r="F83" s="391">
        <v>288</v>
      </c>
      <c r="G83" s="392">
        <v>48</v>
      </c>
      <c r="H83" s="395" t="s">
        <v>229</v>
      </c>
      <c r="I83" s="740">
        <v>2</v>
      </c>
      <c r="J83" s="415" t="s">
        <v>230</v>
      </c>
      <c r="K83" s="603"/>
      <c r="L83" s="394">
        <f t="shared" si="26"/>
        <v>2</v>
      </c>
      <c r="M83" s="393">
        <v>288</v>
      </c>
      <c r="N83" s="396">
        <f t="shared" si="27"/>
        <v>576</v>
      </c>
      <c r="O83" s="112"/>
      <c r="P83" s="397">
        <f t="shared" si="10"/>
        <v>0</v>
      </c>
      <c r="Q83" s="391"/>
      <c r="R83" s="490">
        <f t="shared" si="28"/>
        <v>576</v>
      </c>
      <c r="S83" s="97">
        <f t="shared" si="29"/>
        <v>0</v>
      </c>
      <c r="T83" s="97">
        <f t="shared" si="30"/>
        <v>576</v>
      </c>
      <c r="U83" s="142"/>
      <c r="V83" s="99">
        <f t="shared" si="14"/>
        <v>45.274999999999999</v>
      </c>
      <c r="W83" s="384">
        <f t="shared" si="15"/>
        <v>47.991499999999995</v>
      </c>
      <c r="X83" s="380">
        <v>271.64999999999998</v>
      </c>
      <c r="Y83" s="381">
        <f t="shared" si="31"/>
        <v>287.94899999999996</v>
      </c>
    </row>
    <row r="84" spans="2:28" ht="19.95" customHeight="1" x14ac:dyDescent="0.55000000000000004">
      <c r="B84" s="510" t="s">
        <v>352</v>
      </c>
      <c r="C84" s="389" t="s">
        <v>360</v>
      </c>
      <c r="D84" s="385">
        <v>6</v>
      </c>
      <c r="E84" s="390"/>
      <c r="F84" s="391">
        <v>288</v>
      </c>
      <c r="G84" s="392">
        <v>48</v>
      </c>
      <c r="H84" s="395" t="s">
        <v>229</v>
      </c>
      <c r="I84" s="740">
        <v>2</v>
      </c>
      <c r="J84" s="415" t="s">
        <v>230</v>
      </c>
      <c r="K84" s="603"/>
      <c r="L84" s="394">
        <f t="shared" si="26"/>
        <v>2</v>
      </c>
      <c r="M84" s="393">
        <v>288</v>
      </c>
      <c r="N84" s="396">
        <f t="shared" si="27"/>
        <v>576</v>
      </c>
      <c r="O84" s="112"/>
      <c r="P84" s="397">
        <f t="shared" si="10"/>
        <v>0</v>
      </c>
      <c r="Q84" s="391"/>
      <c r="R84" s="490">
        <f t="shared" si="28"/>
        <v>576</v>
      </c>
      <c r="S84" s="97">
        <f t="shared" si="29"/>
        <v>0</v>
      </c>
      <c r="T84" s="97">
        <f t="shared" si="30"/>
        <v>576</v>
      </c>
      <c r="U84" s="142"/>
      <c r="V84" s="99">
        <f t="shared" si="14"/>
        <v>45.274999999999999</v>
      </c>
      <c r="W84" s="384">
        <f t="shared" si="15"/>
        <v>47.991499999999995</v>
      </c>
      <c r="X84" s="380">
        <v>271.64999999999998</v>
      </c>
      <c r="Y84" s="381">
        <f t="shared" si="31"/>
        <v>287.94899999999996</v>
      </c>
    </row>
    <row r="85" spans="2:28" ht="19.95" customHeight="1" x14ac:dyDescent="0.55000000000000004">
      <c r="B85" s="510" t="s">
        <v>352</v>
      </c>
      <c r="C85" s="389" t="s">
        <v>446</v>
      </c>
      <c r="D85" s="385">
        <v>6</v>
      </c>
      <c r="E85" s="390"/>
      <c r="F85" s="391">
        <v>343</v>
      </c>
      <c r="G85" s="392">
        <v>57</v>
      </c>
      <c r="H85" s="395" t="s">
        <v>229</v>
      </c>
      <c r="I85" s="740"/>
      <c r="J85" s="415" t="s">
        <v>230</v>
      </c>
      <c r="K85" s="603"/>
      <c r="L85" s="394">
        <f t="shared" si="26"/>
        <v>0</v>
      </c>
      <c r="M85" s="393">
        <v>348</v>
      </c>
      <c r="N85" s="396">
        <f t="shared" si="27"/>
        <v>0</v>
      </c>
      <c r="O85" s="112"/>
      <c r="P85" s="397">
        <f t="shared" si="10"/>
        <v>0</v>
      </c>
      <c r="Q85" s="391"/>
      <c r="R85" s="490">
        <f t="shared" si="28"/>
        <v>0</v>
      </c>
      <c r="S85" s="97">
        <f t="shared" si="29"/>
        <v>0</v>
      </c>
      <c r="T85" s="97">
        <f t="shared" si="30"/>
        <v>0</v>
      </c>
      <c r="U85" s="142"/>
      <c r="V85" s="99">
        <f t="shared" si="14"/>
        <v>54.716666666666669</v>
      </c>
      <c r="W85" s="384">
        <f t="shared" si="15"/>
        <v>57.999666666666663</v>
      </c>
      <c r="X85" s="380">
        <v>328.3</v>
      </c>
      <c r="Y85" s="381">
        <f t="shared" si="31"/>
        <v>347.99799999999999</v>
      </c>
    </row>
    <row r="86" spans="2:28" ht="19.95" customHeight="1" x14ac:dyDescent="0.55000000000000004">
      <c r="B86" s="628" t="s">
        <v>415</v>
      </c>
      <c r="C86" s="649" t="s">
        <v>495</v>
      </c>
      <c r="D86" s="650">
        <v>144</v>
      </c>
      <c r="E86" s="651"/>
      <c r="F86" s="509">
        <v>2375</v>
      </c>
      <c r="G86" s="652">
        <v>396</v>
      </c>
      <c r="H86" s="653" t="s">
        <v>224</v>
      </c>
      <c r="I86" s="740">
        <v>1</v>
      </c>
      <c r="J86" s="654" t="s">
        <v>224</v>
      </c>
      <c r="K86" s="655"/>
      <c r="L86" s="656">
        <f t="shared" si="26"/>
        <v>1</v>
      </c>
      <c r="M86" s="509">
        <v>396</v>
      </c>
      <c r="N86" s="657">
        <f t="shared" si="27"/>
        <v>396</v>
      </c>
      <c r="O86" s="658"/>
      <c r="P86" s="659">
        <f t="shared" si="10"/>
        <v>0</v>
      </c>
      <c r="Q86" s="509"/>
      <c r="R86" s="660">
        <f t="shared" si="28"/>
        <v>396</v>
      </c>
      <c r="S86" s="509">
        <f t="shared" si="29"/>
        <v>0</v>
      </c>
      <c r="T86" s="509">
        <f t="shared" si="30"/>
        <v>396</v>
      </c>
      <c r="U86" s="661"/>
      <c r="V86" s="99">
        <f t="shared" si="14"/>
        <v>15.5625</v>
      </c>
      <c r="W86" s="384">
        <f t="shared" si="15"/>
        <v>16.49625</v>
      </c>
      <c r="X86" s="662">
        <v>2241</v>
      </c>
      <c r="Y86" s="417">
        <f t="shared" si="31"/>
        <v>2375.46</v>
      </c>
      <c r="Z86" t="s">
        <v>381</v>
      </c>
      <c r="AA86" t="s">
        <v>408</v>
      </c>
      <c r="AB86" t="s">
        <v>412</v>
      </c>
    </row>
    <row r="87" spans="2:28" ht="19.95" customHeight="1" x14ac:dyDescent="0.55000000000000004">
      <c r="B87" s="628" t="s">
        <v>415</v>
      </c>
      <c r="C87" s="389" t="s">
        <v>496</v>
      </c>
      <c r="D87" s="385">
        <v>144</v>
      </c>
      <c r="E87" s="390"/>
      <c r="F87" s="391">
        <v>2303</v>
      </c>
      <c r="G87" s="392">
        <v>384</v>
      </c>
      <c r="H87" s="395" t="s">
        <v>224</v>
      </c>
      <c r="I87" s="740">
        <v>1</v>
      </c>
      <c r="J87" s="415" t="s">
        <v>224</v>
      </c>
      <c r="K87" s="603"/>
      <c r="L87" s="394">
        <f t="shared" si="26"/>
        <v>1</v>
      </c>
      <c r="M87" s="391">
        <v>384</v>
      </c>
      <c r="N87" s="396">
        <f t="shared" si="27"/>
        <v>384</v>
      </c>
      <c r="O87" s="112"/>
      <c r="P87" s="397">
        <f t="shared" si="10"/>
        <v>0</v>
      </c>
      <c r="Q87" s="445"/>
      <c r="R87" s="490">
        <f t="shared" si="28"/>
        <v>384</v>
      </c>
      <c r="S87" s="97">
        <f t="shared" si="29"/>
        <v>0</v>
      </c>
      <c r="T87" s="97">
        <f t="shared" si="30"/>
        <v>384</v>
      </c>
      <c r="U87" s="144"/>
      <c r="V87" s="99">
        <f t="shared" si="14"/>
        <v>15.090277777777779</v>
      </c>
      <c r="W87" s="384">
        <f t="shared" si="15"/>
        <v>15.995694444444446</v>
      </c>
      <c r="X87" s="380">
        <v>2173</v>
      </c>
      <c r="Y87" s="381">
        <f t="shared" si="31"/>
        <v>2303.38</v>
      </c>
      <c r="Z87" t="s">
        <v>381</v>
      </c>
      <c r="AA87" t="s">
        <v>408</v>
      </c>
      <c r="AB87" t="s">
        <v>412</v>
      </c>
    </row>
    <row r="88" spans="2:28" ht="19.95" customHeight="1" x14ac:dyDescent="0.55000000000000004">
      <c r="B88" s="628" t="s">
        <v>415</v>
      </c>
      <c r="C88" s="400" t="s">
        <v>380</v>
      </c>
      <c r="D88" s="385">
        <v>48</v>
      </c>
      <c r="E88" s="390"/>
      <c r="F88" s="391">
        <v>1240</v>
      </c>
      <c r="G88" s="392">
        <v>30</v>
      </c>
      <c r="H88" s="395" t="s">
        <v>229</v>
      </c>
      <c r="I88" s="740"/>
      <c r="J88" s="415" t="s">
        <v>229</v>
      </c>
      <c r="K88" s="603"/>
      <c r="L88" s="394">
        <f t="shared" si="26"/>
        <v>0</v>
      </c>
      <c r="M88" s="475">
        <v>30</v>
      </c>
      <c r="N88" s="396">
        <f t="shared" si="27"/>
        <v>0</v>
      </c>
      <c r="O88" s="112"/>
      <c r="P88" s="397">
        <f t="shared" si="10"/>
        <v>0</v>
      </c>
      <c r="Q88" s="445"/>
      <c r="R88" s="490">
        <f t="shared" si="28"/>
        <v>0</v>
      </c>
      <c r="S88" s="97">
        <f t="shared" si="29"/>
        <v>0</v>
      </c>
      <c r="T88" s="97">
        <f t="shared" si="30"/>
        <v>0</v>
      </c>
      <c r="U88" s="144"/>
      <c r="V88" s="99">
        <f t="shared" si="14"/>
        <v>25.849999999999998</v>
      </c>
      <c r="W88" s="384">
        <f t="shared" si="15"/>
        <v>27.401</v>
      </c>
      <c r="X88" s="380">
        <v>1240.8</v>
      </c>
      <c r="Y88" s="381">
        <f t="shared" si="31"/>
        <v>1315.248</v>
      </c>
    </row>
    <row r="89" spans="2:28" ht="19.95" customHeight="1" x14ac:dyDescent="0.55000000000000004">
      <c r="B89" s="628" t="s">
        <v>415</v>
      </c>
      <c r="C89" s="400" t="s">
        <v>441</v>
      </c>
      <c r="D89" s="385">
        <v>24</v>
      </c>
      <c r="E89" s="390"/>
      <c r="F89" s="391">
        <v>1748</v>
      </c>
      <c r="G89" s="392">
        <v>85</v>
      </c>
      <c r="H89" s="395" t="s">
        <v>229</v>
      </c>
      <c r="I89" s="740"/>
      <c r="J89" s="415" t="s">
        <v>229</v>
      </c>
      <c r="K89" s="603"/>
      <c r="L89" s="394">
        <f t="shared" si="26"/>
        <v>0</v>
      </c>
      <c r="M89" s="475">
        <v>85</v>
      </c>
      <c r="N89" s="396">
        <f t="shared" si="27"/>
        <v>0</v>
      </c>
      <c r="O89" s="112"/>
      <c r="P89" s="397">
        <f t="shared" si="10"/>
        <v>0</v>
      </c>
      <c r="Q89" s="445"/>
      <c r="R89" s="490">
        <f t="shared" si="28"/>
        <v>0</v>
      </c>
      <c r="S89" s="97">
        <f t="shared" si="29"/>
        <v>0</v>
      </c>
      <c r="T89" s="97">
        <f t="shared" si="30"/>
        <v>0</v>
      </c>
      <c r="U89" s="144"/>
      <c r="V89" s="99">
        <f t="shared" si="14"/>
        <v>72.833333333333329</v>
      </c>
      <c r="W89" s="384">
        <f t="shared" si="15"/>
        <v>77.203333333333333</v>
      </c>
      <c r="X89" s="380">
        <v>1748</v>
      </c>
      <c r="Y89" s="381">
        <f t="shared" si="31"/>
        <v>1852.88</v>
      </c>
    </row>
    <row r="90" spans="2:28" ht="19.95" customHeight="1" x14ac:dyDescent="0.55000000000000004">
      <c r="B90" s="628" t="s">
        <v>415</v>
      </c>
      <c r="C90" s="400" t="s">
        <v>447</v>
      </c>
      <c r="D90" s="385">
        <v>96</v>
      </c>
      <c r="E90" s="390"/>
      <c r="F90" s="391">
        <v>768</v>
      </c>
      <c r="G90" s="392">
        <v>192</v>
      </c>
      <c r="H90" s="395" t="s">
        <v>224</v>
      </c>
      <c r="I90" s="740"/>
      <c r="J90" s="415" t="s">
        <v>229</v>
      </c>
      <c r="K90" s="603"/>
      <c r="L90" s="394">
        <f t="shared" si="26"/>
        <v>0</v>
      </c>
      <c r="M90" s="393">
        <v>192</v>
      </c>
      <c r="N90" s="396">
        <f t="shared" si="27"/>
        <v>0</v>
      </c>
      <c r="O90" s="112"/>
      <c r="P90" s="397">
        <f t="shared" si="10"/>
        <v>0</v>
      </c>
      <c r="Q90" s="445"/>
      <c r="R90" s="490">
        <f t="shared" si="28"/>
        <v>0</v>
      </c>
      <c r="S90" s="97">
        <f t="shared" si="29"/>
        <v>0</v>
      </c>
      <c r="T90" s="97">
        <f t="shared" si="30"/>
        <v>0</v>
      </c>
      <c r="U90" s="144"/>
      <c r="V90" s="99">
        <f t="shared" si="14"/>
        <v>7.5471874999999997</v>
      </c>
      <c r="W90" s="384">
        <f t="shared" si="15"/>
        <v>8.0000187500000006</v>
      </c>
      <c r="X90" s="380">
        <v>724.53</v>
      </c>
      <c r="Y90" s="381">
        <f t="shared" si="31"/>
        <v>768.0018</v>
      </c>
      <c r="Z90" t="s">
        <v>381</v>
      </c>
    </row>
    <row r="91" spans="2:28" ht="19.95" customHeight="1" x14ac:dyDescent="0.55000000000000004">
      <c r="B91" s="512" t="s">
        <v>414</v>
      </c>
      <c r="C91" s="645" t="s">
        <v>445</v>
      </c>
      <c r="D91" s="517">
        <v>96</v>
      </c>
      <c r="E91" s="518"/>
      <c r="F91" s="388">
        <v>384</v>
      </c>
      <c r="G91" s="646">
        <v>96</v>
      </c>
      <c r="H91" s="520" t="s">
        <v>224</v>
      </c>
      <c r="I91" s="740">
        <v>8</v>
      </c>
      <c r="J91" s="520" t="s">
        <v>224</v>
      </c>
      <c r="K91" s="603"/>
      <c r="L91" s="522">
        <f t="shared" ref="L91:L95" si="32">I91-K91</f>
        <v>8</v>
      </c>
      <c r="M91" s="523">
        <v>96</v>
      </c>
      <c r="N91" s="524">
        <f t="shared" ref="N91:N95" si="33">L91*M91</f>
        <v>768</v>
      </c>
      <c r="O91" s="525"/>
      <c r="P91" s="647">
        <f t="shared" si="10"/>
        <v>0</v>
      </c>
      <c r="Q91" s="388"/>
      <c r="R91" s="648">
        <f t="shared" si="28"/>
        <v>768</v>
      </c>
      <c r="S91" s="388">
        <f t="shared" si="29"/>
        <v>0</v>
      </c>
      <c r="T91" s="388">
        <f t="shared" si="30"/>
        <v>768</v>
      </c>
      <c r="U91" s="526"/>
      <c r="V91" s="99">
        <f t="shared" si="14"/>
        <v>3.7916666666666665</v>
      </c>
      <c r="W91" s="384">
        <f t="shared" si="15"/>
        <v>4.0191666666666661</v>
      </c>
      <c r="X91" s="527">
        <v>364</v>
      </c>
      <c r="Y91" s="528">
        <f t="shared" ref="Y91:Y95" si="34">X91*6/100+X91</f>
        <v>385.84</v>
      </c>
      <c r="Z91" t="s">
        <v>381</v>
      </c>
      <c r="AA91" t="s">
        <v>408</v>
      </c>
      <c r="AB91" t="s">
        <v>410</v>
      </c>
    </row>
    <row r="92" spans="2:28" ht="19.95" customHeight="1" x14ac:dyDescent="0.55000000000000004">
      <c r="B92" s="511" t="s">
        <v>414</v>
      </c>
      <c r="C92" s="389" t="s">
        <v>469</v>
      </c>
      <c r="D92" s="385">
        <v>60</v>
      </c>
      <c r="E92" s="390"/>
      <c r="F92" s="391">
        <v>257</v>
      </c>
      <c r="G92" s="392">
        <v>4.3</v>
      </c>
      <c r="H92" s="395" t="s">
        <v>374</v>
      </c>
      <c r="I92" s="740">
        <v>2</v>
      </c>
      <c r="J92" s="415" t="s">
        <v>528</v>
      </c>
      <c r="K92" s="603"/>
      <c r="L92" s="394">
        <f t="shared" si="32"/>
        <v>2</v>
      </c>
      <c r="M92" s="393">
        <v>257</v>
      </c>
      <c r="N92" s="396">
        <f t="shared" si="33"/>
        <v>514</v>
      </c>
      <c r="O92" s="112"/>
      <c r="P92" s="397">
        <f t="shared" si="10"/>
        <v>0</v>
      </c>
      <c r="Q92" s="391"/>
      <c r="R92" s="490">
        <f t="shared" si="28"/>
        <v>514</v>
      </c>
      <c r="S92" s="97">
        <f t="shared" si="29"/>
        <v>0</v>
      </c>
      <c r="T92" s="97">
        <f t="shared" si="30"/>
        <v>514</v>
      </c>
      <c r="U92" s="142"/>
      <c r="V92" s="99">
        <f t="shared" si="14"/>
        <v>4.0475000000000003</v>
      </c>
      <c r="W92" s="384">
        <f t="shared" si="15"/>
        <v>4.2903500000000001</v>
      </c>
      <c r="X92" s="380">
        <v>242.85</v>
      </c>
      <c r="Y92" s="381">
        <f t="shared" si="34"/>
        <v>257.42099999999999</v>
      </c>
    </row>
    <row r="93" spans="2:28" ht="19.95" customHeight="1" x14ac:dyDescent="0.55000000000000004">
      <c r="B93" s="511" t="s">
        <v>379</v>
      </c>
      <c r="C93" s="389" t="s">
        <v>341</v>
      </c>
      <c r="D93" s="385">
        <v>72</v>
      </c>
      <c r="E93" s="390"/>
      <c r="F93" s="391">
        <v>305</v>
      </c>
      <c r="G93" s="392">
        <v>3.81</v>
      </c>
      <c r="H93" s="395" t="s">
        <v>231</v>
      </c>
      <c r="I93" s="740">
        <v>1</v>
      </c>
      <c r="J93" s="415" t="s">
        <v>230</v>
      </c>
      <c r="K93" s="603"/>
      <c r="L93" s="394">
        <f t="shared" si="32"/>
        <v>1</v>
      </c>
      <c r="M93" s="393">
        <v>305</v>
      </c>
      <c r="N93" s="396">
        <f t="shared" si="33"/>
        <v>305</v>
      </c>
      <c r="O93" s="112"/>
      <c r="P93" s="397">
        <f t="shared" si="10"/>
        <v>0</v>
      </c>
      <c r="Q93" s="391"/>
      <c r="R93" s="490">
        <f t="shared" si="28"/>
        <v>305</v>
      </c>
      <c r="S93" s="97">
        <f t="shared" si="29"/>
        <v>0</v>
      </c>
      <c r="T93" s="97">
        <f t="shared" si="30"/>
        <v>305</v>
      </c>
      <c r="U93" s="142"/>
      <c r="V93" s="99">
        <f t="shared" si="14"/>
        <v>4.010416666666667</v>
      </c>
      <c r="W93" s="384">
        <f t="shared" si="15"/>
        <v>4.2510416666666666</v>
      </c>
      <c r="X93" s="380">
        <v>288.75</v>
      </c>
      <c r="Y93" s="381">
        <f t="shared" si="34"/>
        <v>306.07499999999999</v>
      </c>
    </row>
    <row r="94" spans="2:28" ht="19.95" customHeight="1" x14ac:dyDescent="0.55000000000000004">
      <c r="B94" s="511" t="s">
        <v>379</v>
      </c>
      <c r="C94" s="389" t="s">
        <v>355</v>
      </c>
      <c r="D94" s="385">
        <v>72</v>
      </c>
      <c r="E94" s="390"/>
      <c r="F94" s="391">
        <v>306</v>
      </c>
      <c r="G94" s="392">
        <v>3.8</v>
      </c>
      <c r="H94" s="395" t="s">
        <v>231</v>
      </c>
      <c r="I94" s="740"/>
      <c r="J94" s="415" t="s">
        <v>230</v>
      </c>
      <c r="K94" s="603"/>
      <c r="L94" s="394">
        <f t="shared" si="32"/>
        <v>0</v>
      </c>
      <c r="M94" s="393">
        <v>275</v>
      </c>
      <c r="N94" s="396">
        <f t="shared" si="33"/>
        <v>0</v>
      </c>
      <c r="O94" s="112"/>
      <c r="P94" s="397">
        <f t="shared" si="10"/>
        <v>0</v>
      </c>
      <c r="Q94" s="391"/>
      <c r="R94" s="490">
        <f t="shared" si="28"/>
        <v>0</v>
      </c>
      <c r="S94" s="97">
        <f t="shared" si="29"/>
        <v>0</v>
      </c>
      <c r="T94" s="97">
        <f t="shared" si="30"/>
        <v>0</v>
      </c>
      <c r="U94" s="142"/>
      <c r="V94" s="99">
        <f t="shared" si="14"/>
        <v>3.8249999999999997</v>
      </c>
      <c r="W94" s="384">
        <f t="shared" si="15"/>
        <v>4.0545</v>
      </c>
      <c r="X94" s="380">
        <v>275.39999999999998</v>
      </c>
      <c r="Y94" s="417">
        <f t="shared" si="34"/>
        <v>291.92399999999998</v>
      </c>
    </row>
    <row r="95" spans="2:28" ht="19.95" customHeight="1" x14ac:dyDescent="0.55000000000000004">
      <c r="B95" s="511" t="s">
        <v>414</v>
      </c>
      <c r="C95" s="389" t="s">
        <v>367</v>
      </c>
      <c r="D95" s="385">
        <v>192</v>
      </c>
      <c r="E95" s="390"/>
      <c r="F95" s="391">
        <v>768</v>
      </c>
      <c r="G95" s="398">
        <v>192</v>
      </c>
      <c r="H95" s="395" t="s">
        <v>224</v>
      </c>
      <c r="I95" s="740"/>
      <c r="J95" s="415" t="s">
        <v>224</v>
      </c>
      <c r="K95" s="603"/>
      <c r="L95" s="394">
        <f t="shared" si="32"/>
        <v>0</v>
      </c>
      <c r="M95" s="393">
        <v>192</v>
      </c>
      <c r="N95" s="396">
        <f t="shared" si="33"/>
        <v>0</v>
      </c>
      <c r="O95" s="112"/>
      <c r="P95" s="397">
        <f t="shared" si="10"/>
        <v>0</v>
      </c>
      <c r="Q95" s="391"/>
      <c r="R95" s="490">
        <f t="shared" si="28"/>
        <v>0</v>
      </c>
      <c r="S95" s="97">
        <f t="shared" si="29"/>
        <v>0</v>
      </c>
      <c r="T95" s="97">
        <f t="shared" si="30"/>
        <v>0</v>
      </c>
      <c r="U95" s="142"/>
      <c r="V95" s="99">
        <f t="shared" si="14"/>
        <v>3.7734375</v>
      </c>
      <c r="W95" s="384">
        <f t="shared" si="15"/>
        <v>3.9998437500000001</v>
      </c>
      <c r="X95" s="380">
        <v>724.5</v>
      </c>
      <c r="Y95" s="381">
        <f t="shared" si="34"/>
        <v>767.97</v>
      </c>
      <c r="Z95" t="s">
        <v>413</v>
      </c>
      <c r="AA95" t="s">
        <v>408</v>
      </c>
      <c r="AB95" t="s">
        <v>410</v>
      </c>
    </row>
    <row r="96" spans="2:28" ht="19.95" customHeight="1" x14ac:dyDescent="0.55000000000000004">
      <c r="B96" s="511" t="s">
        <v>414</v>
      </c>
      <c r="C96" s="612" t="s">
        <v>453</v>
      </c>
      <c r="D96" s="385">
        <v>12</v>
      </c>
      <c r="E96" s="390"/>
      <c r="F96" s="391">
        <v>355</v>
      </c>
      <c r="G96" s="392">
        <v>31</v>
      </c>
      <c r="H96" s="395" t="s">
        <v>234</v>
      </c>
      <c r="I96" s="740"/>
      <c r="J96" s="415" t="s">
        <v>230</v>
      </c>
      <c r="K96" s="603"/>
      <c r="L96" s="394">
        <f>I96-K96</f>
        <v>0</v>
      </c>
      <c r="M96" s="393">
        <v>355</v>
      </c>
      <c r="N96" s="396">
        <f>L96*M96</f>
        <v>0</v>
      </c>
      <c r="O96" s="112"/>
      <c r="P96" s="397">
        <f t="shared" si="10"/>
        <v>0</v>
      </c>
      <c r="Q96" s="445"/>
      <c r="R96" s="490">
        <f t="shared" si="28"/>
        <v>0</v>
      </c>
      <c r="S96" s="97">
        <f t="shared" si="29"/>
        <v>0</v>
      </c>
      <c r="T96" s="97">
        <f t="shared" si="30"/>
        <v>0</v>
      </c>
      <c r="U96" s="144"/>
      <c r="V96" s="99">
        <f t="shared" si="14"/>
        <v>27.875</v>
      </c>
      <c r="W96" s="384">
        <f t="shared" si="15"/>
        <v>29.547499999999999</v>
      </c>
      <c r="X96" s="380">
        <v>334.5</v>
      </c>
      <c r="Y96" s="381">
        <f>X96*6/100+X96</f>
        <v>354.57</v>
      </c>
    </row>
    <row r="97" spans="2:27" ht="19.95" customHeight="1" x14ac:dyDescent="0.55000000000000004">
      <c r="B97" s="511" t="s">
        <v>414</v>
      </c>
      <c r="C97" s="612" t="s">
        <v>457</v>
      </c>
      <c r="D97" s="385">
        <v>25</v>
      </c>
      <c r="E97" s="390"/>
      <c r="F97" s="391">
        <v>950</v>
      </c>
      <c r="G97" s="392">
        <v>38</v>
      </c>
      <c r="H97" s="395" t="s">
        <v>229</v>
      </c>
      <c r="I97" s="740"/>
      <c r="J97" s="415" t="s">
        <v>408</v>
      </c>
      <c r="K97" s="603"/>
      <c r="L97" s="394">
        <f t="shared" ref="L97" si="35">I97-K97</f>
        <v>0</v>
      </c>
      <c r="M97" s="393">
        <v>38</v>
      </c>
      <c r="N97" s="396">
        <f t="shared" ref="N97" si="36">L97*M97</f>
        <v>0</v>
      </c>
      <c r="O97" s="112"/>
      <c r="P97" s="397">
        <f t="shared" si="10"/>
        <v>0</v>
      </c>
      <c r="Q97" s="445"/>
      <c r="R97" s="490">
        <f t="shared" si="28"/>
        <v>0</v>
      </c>
      <c r="S97" s="97">
        <f t="shared" si="29"/>
        <v>0</v>
      </c>
      <c r="T97" s="97">
        <f t="shared" si="30"/>
        <v>0</v>
      </c>
      <c r="U97" s="144"/>
      <c r="V97" s="99">
        <f t="shared" si="14"/>
        <v>35.840000000000003</v>
      </c>
      <c r="W97" s="384">
        <f t="shared" si="15"/>
        <v>37.990400000000001</v>
      </c>
      <c r="X97" s="380">
        <v>896</v>
      </c>
      <c r="Y97" s="381">
        <f>X97*6/100+X97</f>
        <v>949.76</v>
      </c>
    </row>
    <row r="98" spans="2:27" ht="19.95" customHeight="1" x14ac:dyDescent="0.55000000000000004">
      <c r="B98" s="629" t="s">
        <v>343</v>
      </c>
      <c r="C98" s="630" t="s">
        <v>347</v>
      </c>
      <c r="D98" s="631">
        <v>48</v>
      </c>
      <c r="E98" s="632"/>
      <c r="F98" s="633">
        <v>180</v>
      </c>
      <c r="G98" s="634">
        <v>3.8</v>
      </c>
      <c r="H98" s="635" t="s">
        <v>229</v>
      </c>
      <c r="I98" s="740">
        <v>46</v>
      </c>
      <c r="J98" s="636" t="s">
        <v>230</v>
      </c>
      <c r="K98" s="637"/>
      <c r="L98" s="638">
        <f>I98-K98</f>
        <v>46</v>
      </c>
      <c r="M98" s="475">
        <v>180</v>
      </c>
      <c r="N98" s="639">
        <f t="shared" ref="N98:N110" si="37">L98*M98</f>
        <v>8280</v>
      </c>
      <c r="O98" s="639"/>
      <c r="P98" s="640">
        <f t="shared" si="10"/>
        <v>0</v>
      </c>
      <c r="Q98" s="633"/>
      <c r="R98" s="641">
        <f t="shared" si="28"/>
        <v>8280</v>
      </c>
      <c r="S98" s="633">
        <f t="shared" si="29"/>
        <v>0</v>
      </c>
      <c r="T98" s="633">
        <f t="shared" si="30"/>
        <v>8280</v>
      </c>
      <c r="U98" s="642"/>
      <c r="V98" s="99">
        <f t="shared" si="14"/>
        <v>3.5514583333333332</v>
      </c>
      <c r="W98" s="384">
        <f t="shared" si="15"/>
        <v>3.764545833333333</v>
      </c>
      <c r="X98" s="643">
        <v>170.47</v>
      </c>
      <c r="Y98" s="644">
        <f>X98*6/100+X98</f>
        <v>180.69819999999999</v>
      </c>
    </row>
    <row r="99" spans="2:27" ht="19.95" customHeight="1" x14ac:dyDescent="0.55000000000000004">
      <c r="B99" s="513" t="s">
        <v>343</v>
      </c>
      <c r="C99" s="389" t="s">
        <v>346</v>
      </c>
      <c r="D99" s="385">
        <v>72</v>
      </c>
      <c r="E99" s="390"/>
      <c r="F99" s="391">
        <v>290</v>
      </c>
      <c r="G99" s="392">
        <v>4.0999999999999996</v>
      </c>
      <c r="H99" s="395" t="s">
        <v>229</v>
      </c>
      <c r="I99" s="740">
        <v>8</v>
      </c>
      <c r="J99" s="415" t="s">
        <v>230</v>
      </c>
      <c r="K99" s="603"/>
      <c r="L99" s="394">
        <f>I99-K99</f>
        <v>8</v>
      </c>
      <c r="M99" s="393">
        <v>300</v>
      </c>
      <c r="N99" s="396">
        <f t="shared" si="37"/>
        <v>2400</v>
      </c>
      <c r="O99" s="112"/>
      <c r="P99" s="397">
        <f t="shared" si="10"/>
        <v>0</v>
      </c>
      <c r="Q99" s="391"/>
      <c r="R99" s="490">
        <f t="shared" si="28"/>
        <v>2400</v>
      </c>
      <c r="S99" s="97">
        <f t="shared" si="29"/>
        <v>0</v>
      </c>
      <c r="T99" s="97">
        <f t="shared" si="30"/>
        <v>2400</v>
      </c>
      <c r="U99" s="142"/>
      <c r="V99" s="99">
        <f t="shared" si="14"/>
        <v>3.930277777777778</v>
      </c>
      <c r="W99" s="384">
        <f t="shared" si="15"/>
        <v>4.1660944444444441</v>
      </c>
      <c r="X99" s="380">
        <v>282.98</v>
      </c>
      <c r="Y99" s="381">
        <f>X99*6/100+X99</f>
        <v>299.9588</v>
      </c>
    </row>
    <row r="100" spans="2:27" ht="19.95" customHeight="1" x14ac:dyDescent="0.55000000000000004">
      <c r="B100" s="513" t="s">
        <v>343</v>
      </c>
      <c r="C100" s="389" t="s">
        <v>344</v>
      </c>
      <c r="D100" s="385">
        <v>72</v>
      </c>
      <c r="E100" s="390"/>
      <c r="F100" s="391">
        <v>306</v>
      </c>
      <c r="G100" s="392">
        <v>4.2</v>
      </c>
      <c r="H100" s="395" t="s">
        <v>229</v>
      </c>
      <c r="I100" s="740"/>
      <c r="J100" s="415" t="s">
        <v>230</v>
      </c>
      <c r="K100" s="603"/>
      <c r="L100" s="394">
        <f>I100-K100</f>
        <v>0</v>
      </c>
      <c r="M100" s="393">
        <v>306</v>
      </c>
      <c r="N100" s="396">
        <f t="shared" si="37"/>
        <v>0</v>
      </c>
      <c r="O100" s="112"/>
      <c r="P100" s="397">
        <f t="shared" si="10"/>
        <v>0</v>
      </c>
      <c r="Q100" s="391"/>
      <c r="R100" s="490">
        <f t="shared" si="28"/>
        <v>0</v>
      </c>
      <c r="S100" s="97">
        <f t="shared" si="29"/>
        <v>0</v>
      </c>
      <c r="T100" s="97">
        <f t="shared" si="30"/>
        <v>0</v>
      </c>
      <c r="U100" s="142"/>
      <c r="V100" s="99">
        <f t="shared" si="14"/>
        <v>4.0138888888888893</v>
      </c>
      <c r="W100" s="384">
        <f t="shared" si="15"/>
        <v>4.2547222222222221</v>
      </c>
      <c r="X100" s="380">
        <v>289</v>
      </c>
      <c r="Y100" s="381">
        <f>X100*6/100+X100</f>
        <v>306.33999999999997</v>
      </c>
    </row>
    <row r="101" spans="2:27" ht="19.95" customHeight="1" x14ac:dyDescent="0.55000000000000004">
      <c r="B101" s="513" t="s">
        <v>343</v>
      </c>
      <c r="C101" s="389" t="s">
        <v>345</v>
      </c>
      <c r="D101" s="385">
        <v>48</v>
      </c>
      <c r="E101" s="390"/>
      <c r="F101" s="391">
        <v>407</v>
      </c>
      <c r="G101" s="392">
        <v>8.4</v>
      </c>
      <c r="H101" s="395" t="s">
        <v>229</v>
      </c>
      <c r="I101" s="740">
        <v>3</v>
      </c>
      <c r="J101" s="415" t="s">
        <v>230</v>
      </c>
      <c r="K101" s="603"/>
      <c r="L101" s="394">
        <f t="shared" ref="L101" si="38">I101-K101</f>
        <v>3</v>
      </c>
      <c r="M101" s="691">
        <v>408</v>
      </c>
      <c r="N101" s="396">
        <f t="shared" si="37"/>
        <v>1224</v>
      </c>
      <c r="O101" s="112"/>
      <c r="P101" s="397">
        <f t="shared" si="10"/>
        <v>0</v>
      </c>
      <c r="Q101" s="391"/>
      <c r="R101" s="490">
        <f t="shared" si="28"/>
        <v>1224</v>
      </c>
      <c r="S101" s="97">
        <f t="shared" si="29"/>
        <v>0</v>
      </c>
      <c r="T101" s="97">
        <f t="shared" si="30"/>
        <v>1224</v>
      </c>
      <c r="U101" s="142"/>
      <c r="V101" s="99">
        <f t="shared" si="14"/>
        <v>8.0187499999999989</v>
      </c>
      <c r="W101" s="384">
        <f t="shared" si="15"/>
        <v>8.4998749999999994</v>
      </c>
      <c r="X101" s="380">
        <v>384.9</v>
      </c>
      <c r="Y101" s="381">
        <f t="shared" ref="Y101" si="39">X101*6/100+X101</f>
        <v>407.99399999999997</v>
      </c>
    </row>
    <row r="102" spans="2:27" ht="19.95" customHeight="1" x14ac:dyDescent="0.55000000000000004">
      <c r="B102" s="513" t="s">
        <v>343</v>
      </c>
      <c r="C102" s="458" t="s">
        <v>465</v>
      </c>
      <c r="D102" s="385">
        <v>24</v>
      </c>
      <c r="E102" s="390"/>
      <c r="F102" s="391">
        <v>384</v>
      </c>
      <c r="G102" s="392">
        <v>16</v>
      </c>
      <c r="H102" s="395" t="s">
        <v>229</v>
      </c>
      <c r="I102" s="740"/>
      <c r="J102" s="415" t="s">
        <v>230</v>
      </c>
      <c r="K102" s="603"/>
      <c r="L102" s="394">
        <f t="shared" ref="L102" si="40">I102-K102</f>
        <v>0</v>
      </c>
      <c r="M102" s="393">
        <v>385</v>
      </c>
      <c r="N102" s="396">
        <f t="shared" ref="N102" si="41">L102*M102</f>
        <v>0</v>
      </c>
      <c r="O102" s="112"/>
      <c r="P102" s="397">
        <f t="shared" si="10"/>
        <v>0</v>
      </c>
      <c r="Q102" s="391"/>
      <c r="R102" s="490">
        <f t="shared" ref="R102" si="42">M102*I102</f>
        <v>0</v>
      </c>
      <c r="S102" s="97">
        <f t="shared" ref="S102" si="43">M102*K102</f>
        <v>0</v>
      </c>
      <c r="T102" s="97">
        <f t="shared" ref="T102" si="44">M102*L102</f>
        <v>0</v>
      </c>
      <c r="U102" s="142"/>
      <c r="V102" s="99">
        <f t="shared" si="14"/>
        <v>15.09375</v>
      </c>
      <c r="W102" s="384">
        <f t="shared" si="15"/>
        <v>15.999375000000001</v>
      </c>
      <c r="X102" s="380">
        <v>362.25</v>
      </c>
      <c r="Y102" s="381">
        <f t="shared" ref="Y102" si="45">X102*6/100+X102</f>
        <v>383.98500000000001</v>
      </c>
      <c r="Z102">
        <v>1</v>
      </c>
    </row>
    <row r="103" spans="2:27" ht="19.95" customHeight="1" x14ac:dyDescent="0.55000000000000004">
      <c r="B103" s="513" t="s">
        <v>343</v>
      </c>
      <c r="C103" s="542" t="s">
        <v>427</v>
      </c>
      <c r="D103" s="385">
        <v>12</v>
      </c>
      <c r="E103" s="390"/>
      <c r="F103" s="391">
        <v>575</v>
      </c>
      <c r="G103" s="392">
        <v>40</v>
      </c>
      <c r="H103" s="395" t="s">
        <v>229</v>
      </c>
      <c r="I103" s="740"/>
      <c r="J103" s="415" t="s">
        <v>230</v>
      </c>
      <c r="K103" s="603"/>
      <c r="L103" s="394">
        <f t="shared" ref="L103" si="46">I103-K103</f>
        <v>0</v>
      </c>
      <c r="M103" s="393">
        <v>576</v>
      </c>
      <c r="N103" s="396">
        <f t="shared" ref="N103" si="47">L103*M103</f>
        <v>0</v>
      </c>
      <c r="O103" s="112"/>
      <c r="P103" s="397">
        <f t="shared" si="10"/>
        <v>0</v>
      </c>
      <c r="Q103" s="391"/>
      <c r="R103" s="490">
        <f t="shared" ref="R103:R115" si="48">M103*I103</f>
        <v>0</v>
      </c>
      <c r="S103" s="97">
        <f t="shared" ref="S103:S115" si="49">M103*K103</f>
        <v>0</v>
      </c>
      <c r="T103" s="97">
        <f t="shared" ref="T103:T115" si="50">M103*L103</f>
        <v>0</v>
      </c>
      <c r="U103" s="142"/>
      <c r="V103" s="99">
        <f t="shared" si="14"/>
        <v>45.25</v>
      </c>
      <c r="W103" s="384">
        <f t="shared" si="15"/>
        <v>47.965000000000003</v>
      </c>
      <c r="X103" s="380">
        <v>543</v>
      </c>
      <c r="Y103" s="381">
        <f t="shared" ref="Y103" si="51">X103*6/100+X103</f>
        <v>575.58000000000004</v>
      </c>
    </row>
    <row r="104" spans="2:27" ht="19.95" customHeight="1" x14ac:dyDescent="0.55000000000000004">
      <c r="B104" s="514" t="s">
        <v>343</v>
      </c>
      <c r="C104" s="389" t="s">
        <v>362</v>
      </c>
      <c r="D104" s="385">
        <v>24</v>
      </c>
      <c r="E104" s="390"/>
      <c r="F104" s="391">
        <v>192</v>
      </c>
      <c r="G104" s="392">
        <v>8.33</v>
      </c>
      <c r="H104" s="395" t="s">
        <v>229</v>
      </c>
      <c r="I104" s="740">
        <v>1</v>
      </c>
      <c r="J104" s="415" t="s">
        <v>230</v>
      </c>
      <c r="K104" s="603"/>
      <c r="L104" s="394">
        <f t="shared" ref="L104:L110" si="52">I104-K104</f>
        <v>1</v>
      </c>
      <c r="M104" s="393">
        <v>200</v>
      </c>
      <c r="N104" s="396">
        <f t="shared" si="37"/>
        <v>200</v>
      </c>
      <c r="O104" s="112"/>
      <c r="P104" s="397">
        <f t="shared" si="10"/>
        <v>0</v>
      </c>
      <c r="Q104" s="391"/>
      <c r="R104" s="490">
        <f t="shared" si="48"/>
        <v>200</v>
      </c>
      <c r="S104" s="97">
        <f t="shared" si="49"/>
        <v>0</v>
      </c>
      <c r="T104" s="97">
        <f t="shared" si="50"/>
        <v>200</v>
      </c>
      <c r="U104" s="142"/>
      <c r="V104" s="99">
        <f t="shared" si="14"/>
        <v>7.8624999999999998</v>
      </c>
      <c r="W104" s="384">
        <f t="shared" si="15"/>
        <v>8.334249999999999</v>
      </c>
      <c r="X104" s="418">
        <v>188.7</v>
      </c>
      <c r="Y104" s="419">
        <f t="shared" ref="Y104:Y110" si="53">X104*6/100+X104</f>
        <v>200.02199999999999</v>
      </c>
    </row>
    <row r="105" spans="2:27" ht="19.95" customHeight="1" x14ac:dyDescent="0.55000000000000004">
      <c r="B105" s="513" t="s">
        <v>343</v>
      </c>
      <c r="C105" s="458" t="s">
        <v>350</v>
      </c>
      <c r="D105" s="385">
        <v>6</v>
      </c>
      <c r="E105" s="390"/>
      <c r="F105" s="391">
        <v>234</v>
      </c>
      <c r="G105" s="392">
        <v>39</v>
      </c>
      <c r="H105" s="395" t="s">
        <v>233</v>
      </c>
      <c r="I105" s="740"/>
      <c r="J105" s="415" t="s">
        <v>230</v>
      </c>
      <c r="K105" s="603"/>
      <c r="L105" s="394">
        <f t="shared" si="52"/>
        <v>0</v>
      </c>
      <c r="M105" s="393">
        <v>234</v>
      </c>
      <c r="N105" s="396">
        <f t="shared" si="37"/>
        <v>0</v>
      </c>
      <c r="O105" s="112"/>
      <c r="P105" s="397">
        <f t="shared" si="10"/>
        <v>0</v>
      </c>
      <c r="Q105" s="391"/>
      <c r="R105" s="490">
        <f t="shared" si="48"/>
        <v>0</v>
      </c>
      <c r="S105" s="97">
        <f t="shared" si="49"/>
        <v>0</v>
      </c>
      <c r="T105" s="97">
        <f t="shared" si="50"/>
        <v>0</v>
      </c>
      <c r="U105" s="143"/>
      <c r="V105" s="99">
        <f t="shared" si="14"/>
        <v>36.93333333333333</v>
      </c>
      <c r="W105" s="384">
        <f t="shared" si="15"/>
        <v>39.149333333333331</v>
      </c>
      <c r="X105" s="380">
        <v>221.6</v>
      </c>
      <c r="Y105" s="381">
        <f t="shared" si="53"/>
        <v>234.89599999999999</v>
      </c>
      <c r="AA105">
        <v>4</v>
      </c>
    </row>
    <row r="106" spans="2:27" ht="19.95" customHeight="1" x14ac:dyDescent="0.55000000000000004">
      <c r="B106" s="513" t="s">
        <v>343</v>
      </c>
      <c r="C106" s="389" t="s">
        <v>383</v>
      </c>
      <c r="D106" s="385">
        <v>36</v>
      </c>
      <c r="E106" s="390"/>
      <c r="F106" s="391">
        <v>288</v>
      </c>
      <c r="G106" s="392">
        <v>8</v>
      </c>
      <c r="H106" s="395" t="s">
        <v>229</v>
      </c>
      <c r="I106" s="740">
        <v>1</v>
      </c>
      <c r="J106" s="415" t="s">
        <v>230</v>
      </c>
      <c r="K106" s="603"/>
      <c r="L106" s="394">
        <f t="shared" si="52"/>
        <v>1</v>
      </c>
      <c r="M106" s="393">
        <v>288</v>
      </c>
      <c r="N106" s="396">
        <f t="shared" si="37"/>
        <v>288</v>
      </c>
      <c r="O106" s="112"/>
      <c r="P106" s="397">
        <f t="shared" si="10"/>
        <v>0</v>
      </c>
      <c r="Q106" s="391"/>
      <c r="R106" s="490">
        <f t="shared" si="48"/>
        <v>288</v>
      </c>
      <c r="S106" s="97">
        <f t="shared" si="49"/>
        <v>0</v>
      </c>
      <c r="T106" s="97">
        <f t="shared" si="50"/>
        <v>288</v>
      </c>
      <c r="U106" s="142"/>
      <c r="V106" s="99">
        <f t="shared" si="14"/>
        <v>7.5472222222222216</v>
      </c>
      <c r="W106" s="384">
        <f t="shared" si="15"/>
        <v>8.000055555555555</v>
      </c>
      <c r="X106" s="380">
        <v>271.7</v>
      </c>
      <c r="Y106" s="381">
        <f t="shared" si="53"/>
        <v>288.00200000000001</v>
      </c>
    </row>
    <row r="107" spans="2:27" ht="19.95" customHeight="1" x14ac:dyDescent="0.55000000000000004">
      <c r="B107" s="513" t="s">
        <v>343</v>
      </c>
      <c r="C107" s="459" t="s">
        <v>356</v>
      </c>
      <c r="D107" s="385">
        <v>48</v>
      </c>
      <c r="E107" s="390"/>
      <c r="F107" s="391">
        <v>190</v>
      </c>
      <c r="G107" s="392">
        <v>4</v>
      </c>
      <c r="H107" s="395" t="s">
        <v>229</v>
      </c>
      <c r="I107" s="740">
        <v>1</v>
      </c>
      <c r="J107" s="415" t="s">
        <v>230</v>
      </c>
      <c r="K107" s="603"/>
      <c r="L107" s="394">
        <f t="shared" si="52"/>
        <v>1</v>
      </c>
      <c r="M107" s="393">
        <v>191</v>
      </c>
      <c r="N107" s="396">
        <f t="shared" si="37"/>
        <v>191</v>
      </c>
      <c r="O107" s="112"/>
      <c r="P107" s="397">
        <f t="shared" si="10"/>
        <v>0</v>
      </c>
      <c r="Q107" s="391"/>
      <c r="R107" s="490">
        <f t="shared" si="48"/>
        <v>191</v>
      </c>
      <c r="S107" s="97">
        <f t="shared" si="49"/>
        <v>0</v>
      </c>
      <c r="T107" s="97">
        <f t="shared" si="50"/>
        <v>191</v>
      </c>
      <c r="U107" s="142"/>
      <c r="V107" s="99">
        <f t="shared" si="14"/>
        <v>3.7708333333333335</v>
      </c>
      <c r="W107" s="384">
        <f t="shared" si="15"/>
        <v>3.9970833333333338</v>
      </c>
      <c r="X107" s="380">
        <v>181</v>
      </c>
      <c r="Y107" s="381">
        <f t="shared" si="53"/>
        <v>191.86</v>
      </c>
    </row>
    <row r="108" spans="2:27" ht="19.95" customHeight="1" x14ac:dyDescent="0.55000000000000004">
      <c r="B108" s="513" t="s">
        <v>343</v>
      </c>
      <c r="C108" s="612" t="s">
        <v>452</v>
      </c>
      <c r="D108" s="385">
        <v>6</v>
      </c>
      <c r="E108" s="390"/>
      <c r="F108" s="391">
        <v>240</v>
      </c>
      <c r="G108" s="392">
        <v>40</v>
      </c>
      <c r="H108" s="395" t="s">
        <v>229</v>
      </c>
      <c r="I108" s="740"/>
      <c r="J108" s="415" t="s">
        <v>230</v>
      </c>
      <c r="K108" s="603"/>
      <c r="L108" s="394">
        <f t="shared" ref="L108" si="54">I108-K108</f>
        <v>0</v>
      </c>
      <c r="M108" s="393">
        <v>240</v>
      </c>
      <c r="N108" s="396">
        <f t="shared" ref="N108" si="55">L108*M108</f>
        <v>0</v>
      </c>
      <c r="O108" s="112"/>
      <c r="P108" s="397">
        <f t="shared" si="10"/>
        <v>0</v>
      </c>
      <c r="Q108" s="391"/>
      <c r="R108" s="490">
        <f t="shared" si="48"/>
        <v>0</v>
      </c>
      <c r="S108" s="97">
        <f t="shared" si="49"/>
        <v>0</v>
      </c>
      <c r="T108" s="97">
        <f t="shared" si="50"/>
        <v>0</v>
      </c>
      <c r="U108" s="142"/>
      <c r="V108" s="99">
        <f t="shared" si="14"/>
        <v>37.733333333333334</v>
      </c>
      <c r="W108" s="384">
        <f t="shared" si="15"/>
        <v>39.997333333333337</v>
      </c>
      <c r="X108" s="380">
        <v>226.4</v>
      </c>
      <c r="Y108" s="381">
        <f t="shared" si="53"/>
        <v>239.98400000000001</v>
      </c>
    </row>
    <row r="109" spans="2:27" ht="19.95" customHeight="1" x14ac:dyDescent="0.55000000000000004">
      <c r="B109" s="513" t="s">
        <v>343</v>
      </c>
      <c r="C109" s="486" t="s">
        <v>358</v>
      </c>
      <c r="D109" s="385">
        <v>48</v>
      </c>
      <c r="E109" s="390"/>
      <c r="F109" s="391">
        <v>184</v>
      </c>
      <c r="G109" s="392">
        <v>3.82</v>
      </c>
      <c r="H109" s="395" t="s">
        <v>229</v>
      </c>
      <c r="I109" s="740">
        <v>1</v>
      </c>
      <c r="J109" s="415" t="s">
        <v>230</v>
      </c>
      <c r="K109" s="740"/>
      <c r="L109" s="394">
        <f t="shared" si="52"/>
        <v>1</v>
      </c>
      <c r="M109" s="393">
        <v>185</v>
      </c>
      <c r="N109" s="396">
        <f t="shared" si="37"/>
        <v>185</v>
      </c>
      <c r="O109" s="112"/>
      <c r="P109" s="397">
        <f t="shared" si="10"/>
        <v>0</v>
      </c>
      <c r="Q109" s="391"/>
      <c r="R109" s="490">
        <f t="shared" si="48"/>
        <v>185</v>
      </c>
      <c r="S109" s="97">
        <f t="shared" si="49"/>
        <v>0</v>
      </c>
      <c r="T109" s="97">
        <f t="shared" si="50"/>
        <v>185</v>
      </c>
      <c r="U109" s="143"/>
      <c r="V109" s="99">
        <f t="shared" si="14"/>
        <v>3.6225000000000001</v>
      </c>
      <c r="W109" s="384">
        <f t="shared" si="15"/>
        <v>3.8398499999999998</v>
      </c>
      <c r="X109" s="380">
        <v>173.88</v>
      </c>
      <c r="Y109" s="381">
        <f t="shared" si="53"/>
        <v>184.31279999999998</v>
      </c>
    </row>
    <row r="110" spans="2:27" ht="19.95" customHeight="1" x14ac:dyDescent="0.55000000000000004">
      <c r="B110" s="513" t="s">
        <v>343</v>
      </c>
      <c r="C110" s="389" t="s">
        <v>348</v>
      </c>
      <c r="D110" s="385">
        <v>72</v>
      </c>
      <c r="E110" s="390"/>
      <c r="F110" s="391">
        <v>292</v>
      </c>
      <c r="G110" s="392">
        <v>4.0999999999999996</v>
      </c>
      <c r="H110" s="395" t="s">
        <v>229</v>
      </c>
      <c r="I110" s="740">
        <v>2</v>
      </c>
      <c r="J110" s="415" t="s">
        <v>230</v>
      </c>
      <c r="K110" s="603"/>
      <c r="L110" s="394">
        <f t="shared" si="52"/>
        <v>2</v>
      </c>
      <c r="M110" s="393">
        <v>292</v>
      </c>
      <c r="N110" s="396">
        <f t="shared" si="37"/>
        <v>584</v>
      </c>
      <c r="O110" s="112"/>
      <c r="P110" s="397">
        <f t="shared" si="10"/>
        <v>0</v>
      </c>
      <c r="Q110" s="391"/>
      <c r="R110" s="490">
        <f t="shared" si="48"/>
        <v>584</v>
      </c>
      <c r="S110" s="97">
        <f t="shared" si="49"/>
        <v>0</v>
      </c>
      <c r="T110" s="97">
        <f t="shared" si="50"/>
        <v>584</v>
      </c>
      <c r="U110" s="142"/>
      <c r="V110" s="99">
        <f t="shared" si="14"/>
        <v>3.8243055555555561</v>
      </c>
      <c r="W110" s="384">
        <f t="shared" si="15"/>
        <v>4.0537638888888896</v>
      </c>
      <c r="X110" s="380">
        <v>275.35000000000002</v>
      </c>
      <c r="Y110" s="381">
        <f t="shared" si="53"/>
        <v>291.87100000000004</v>
      </c>
    </row>
    <row r="111" spans="2:27" ht="19.95" customHeight="1" x14ac:dyDescent="0.55000000000000004">
      <c r="B111" s="513" t="s">
        <v>343</v>
      </c>
      <c r="C111" s="459" t="s">
        <v>351</v>
      </c>
      <c r="D111" s="385">
        <v>48</v>
      </c>
      <c r="E111" s="390"/>
      <c r="F111" s="391">
        <v>200</v>
      </c>
      <c r="G111" s="392">
        <v>4.0999999999999996</v>
      </c>
      <c r="H111" s="395" t="s">
        <v>233</v>
      </c>
      <c r="I111" s="740">
        <v>1</v>
      </c>
      <c r="J111" s="415" t="s">
        <v>230</v>
      </c>
      <c r="K111" s="603"/>
      <c r="L111" s="394">
        <f t="shared" ref="L111:L112" si="56">I111-K111</f>
        <v>1</v>
      </c>
      <c r="M111" s="393">
        <v>200</v>
      </c>
      <c r="N111" s="396">
        <f t="shared" ref="N111:N112" si="57">L111*M111</f>
        <v>200</v>
      </c>
      <c r="O111" s="112"/>
      <c r="P111" s="397">
        <f t="shared" si="10"/>
        <v>0</v>
      </c>
      <c r="Q111" s="391"/>
      <c r="R111" s="490">
        <f t="shared" si="48"/>
        <v>200</v>
      </c>
      <c r="S111" s="97">
        <f t="shared" si="49"/>
        <v>0</v>
      </c>
      <c r="T111" s="97">
        <f t="shared" si="50"/>
        <v>200</v>
      </c>
      <c r="U111" s="142"/>
      <c r="V111" s="99">
        <f t="shared" si="14"/>
        <v>3.9308333333333336</v>
      </c>
      <c r="W111" s="384">
        <f t="shared" si="15"/>
        <v>4.1666833333333333</v>
      </c>
      <c r="X111" s="380">
        <v>188.68</v>
      </c>
      <c r="Y111" s="381">
        <f t="shared" ref="Y111:Y112" si="58">X111*6/100+X111</f>
        <v>200.0008</v>
      </c>
    </row>
    <row r="112" spans="2:27" ht="19.95" customHeight="1" x14ac:dyDescent="0.55000000000000004">
      <c r="B112" s="513" t="s">
        <v>343</v>
      </c>
      <c r="C112" s="389" t="s">
        <v>349</v>
      </c>
      <c r="D112" s="385">
        <v>24</v>
      </c>
      <c r="E112" s="390"/>
      <c r="F112" s="391">
        <v>191</v>
      </c>
      <c r="G112" s="392">
        <v>7.9</v>
      </c>
      <c r="H112" s="395" t="s">
        <v>229</v>
      </c>
      <c r="I112" s="740"/>
      <c r="J112" s="415" t="s">
        <v>230</v>
      </c>
      <c r="K112" s="603"/>
      <c r="L112" s="394">
        <f t="shared" si="56"/>
        <v>0</v>
      </c>
      <c r="M112" s="393">
        <v>191</v>
      </c>
      <c r="N112" s="396">
        <f t="shared" si="57"/>
        <v>0</v>
      </c>
      <c r="O112" s="112"/>
      <c r="P112" s="397">
        <f t="shared" si="10"/>
        <v>0</v>
      </c>
      <c r="Q112" s="391"/>
      <c r="R112" s="490">
        <f t="shared" si="48"/>
        <v>0</v>
      </c>
      <c r="S112" s="97">
        <f t="shared" si="49"/>
        <v>0</v>
      </c>
      <c r="T112" s="97">
        <f t="shared" si="50"/>
        <v>0</v>
      </c>
      <c r="U112" s="142"/>
      <c r="V112" s="99">
        <f t="shared" si="14"/>
        <v>7.5470833333333331</v>
      </c>
      <c r="W112" s="384">
        <f t="shared" si="15"/>
        <v>7.999908333333333</v>
      </c>
      <c r="X112" s="380">
        <v>181.13</v>
      </c>
      <c r="Y112" s="381">
        <f t="shared" si="58"/>
        <v>191.99779999999998</v>
      </c>
    </row>
    <row r="113" spans="2:28" s="594" customFormat="1" ht="19.95" customHeight="1" x14ac:dyDescent="0.55000000000000004">
      <c r="B113" s="513" t="s">
        <v>343</v>
      </c>
      <c r="C113" s="599" t="s">
        <v>442</v>
      </c>
      <c r="D113" s="385">
        <v>24</v>
      </c>
      <c r="E113" s="390"/>
      <c r="F113" s="391">
        <v>204</v>
      </c>
      <c r="G113" s="392">
        <v>8.5</v>
      </c>
      <c r="H113" s="395" t="s">
        <v>229</v>
      </c>
      <c r="I113" s="740"/>
      <c r="J113" s="415" t="s">
        <v>230</v>
      </c>
      <c r="K113" s="603"/>
      <c r="L113" s="394">
        <f t="shared" ref="L113" si="59">I113-K113</f>
        <v>0</v>
      </c>
      <c r="M113" s="393">
        <v>204</v>
      </c>
      <c r="N113" s="396">
        <f t="shared" ref="N113" si="60">L113*M113</f>
        <v>0</v>
      </c>
      <c r="O113" s="112"/>
      <c r="P113" s="397">
        <f t="shared" si="10"/>
        <v>0</v>
      </c>
      <c r="Q113" s="391"/>
      <c r="R113" s="490">
        <f t="shared" si="48"/>
        <v>0</v>
      </c>
      <c r="S113" s="97">
        <f t="shared" si="49"/>
        <v>0</v>
      </c>
      <c r="T113" s="97">
        <f t="shared" si="50"/>
        <v>0</v>
      </c>
      <c r="U113" s="142"/>
      <c r="V113" s="99">
        <f t="shared" si="14"/>
        <v>8.0125000000000011</v>
      </c>
      <c r="W113" s="384">
        <f t="shared" si="15"/>
        <v>8.4932500000000015</v>
      </c>
      <c r="X113" s="380">
        <v>192.3</v>
      </c>
      <c r="Y113" s="381">
        <f t="shared" ref="Y113" si="61">X113*6/100+X113</f>
        <v>203.83800000000002</v>
      </c>
    </row>
    <row r="114" spans="2:28" s="594" customFormat="1" ht="19.95" customHeight="1" x14ac:dyDescent="0.55000000000000004">
      <c r="B114" s="512" t="s">
        <v>354</v>
      </c>
      <c r="C114" s="678" t="s">
        <v>468</v>
      </c>
      <c r="D114" s="663">
        <v>6</v>
      </c>
      <c r="E114" s="664"/>
      <c r="F114" s="665">
        <v>1350</v>
      </c>
      <c r="G114" s="666">
        <v>225</v>
      </c>
      <c r="H114" s="544" t="s">
        <v>241</v>
      </c>
      <c r="I114" s="740"/>
      <c r="J114" s="667" t="s">
        <v>378</v>
      </c>
      <c r="K114" s="668"/>
      <c r="L114" s="669">
        <f>I114-K114</f>
        <v>0</v>
      </c>
      <c r="M114" s="758">
        <v>225</v>
      </c>
      <c r="N114" s="670">
        <f>L114*M114</f>
        <v>0</v>
      </c>
      <c r="O114" s="671"/>
      <c r="P114" s="672">
        <f t="shared" si="10"/>
        <v>0</v>
      </c>
      <c r="Q114" s="665"/>
      <c r="R114" s="673">
        <f t="shared" si="48"/>
        <v>0</v>
      </c>
      <c r="S114" s="543">
        <f t="shared" si="49"/>
        <v>0</v>
      </c>
      <c r="T114" s="543">
        <f t="shared" si="50"/>
        <v>0</v>
      </c>
      <c r="U114" s="674"/>
      <c r="V114" s="99">
        <f t="shared" si="14"/>
        <v>212.26333333333332</v>
      </c>
      <c r="W114" s="384">
        <f t="shared" si="15"/>
        <v>224.99913333333333</v>
      </c>
      <c r="X114" s="675">
        <v>1273.58</v>
      </c>
      <c r="Y114" s="676">
        <f>X114*6/100+X114</f>
        <v>1349.9947999999999</v>
      </c>
    </row>
    <row r="115" spans="2:28" ht="19.95" customHeight="1" x14ac:dyDescent="0.55000000000000004">
      <c r="B115" s="512" t="s">
        <v>354</v>
      </c>
      <c r="C115" s="624" t="s">
        <v>459</v>
      </c>
      <c r="D115" s="447">
        <v>480</v>
      </c>
      <c r="E115" s="448"/>
      <c r="F115" s="449">
        <v>1872</v>
      </c>
      <c r="G115" s="595">
        <v>94</v>
      </c>
      <c r="H115" s="395" t="s">
        <v>224</v>
      </c>
      <c r="I115" s="740"/>
      <c r="J115" s="415" t="s">
        <v>224</v>
      </c>
      <c r="K115" s="603"/>
      <c r="L115" s="452">
        <f>I115-K115</f>
        <v>0</v>
      </c>
      <c r="M115" s="596">
        <v>94</v>
      </c>
      <c r="N115" s="597">
        <f>L115*M115</f>
        <v>0</v>
      </c>
      <c r="O115" s="453"/>
      <c r="P115" s="397">
        <f t="shared" si="10"/>
        <v>0</v>
      </c>
      <c r="Q115" s="444"/>
      <c r="R115" s="490">
        <f t="shared" si="48"/>
        <v>0</v>
      </c>
      <c r="S115" s="97">
        <f t="shared" si="49"/>
        <v>0</v>
      </c>
      <c r="T115" s="97">
        <f t="shared" si="50"/>
        <v>0</v>
      </c>
      <c r="U115" s="439"/>
      <c r="V115" s="99">
        <f t="shared" si="14"/>
        <v>3.6791666666666667</v>
      </c>
      <c r="W115" s="384">
        <f t="shared" si="15"/>
        <v>3.8999166666666669</v>
      </c>
      <c r="X115" s="442">
        <v>1766</v>
      </c>
      <c r="Y115" s="443">
        <f>X115*6/100+X115</f>
        <v>1871.96</v>
      </c>
      <c r="Z115" t="s">
        <v>381</v>
      </c>
      <c r="AA115" t="s">
        <v>408</v>
      </c>
      <c r="AB115" t="s">
        <v>411</v>
      </c>
    </row>
    <row r="116" spans="2:28" ht="19.95" customHeight="1" x14ac:dyDescent="0.55000000000000004">
      <c r="B116" s="512" t="s">
        <v>354</v>
      </c>
      <c r="C116" s="624" t="s">
        <v>458</v>
      </c>
      <c r="D116" s="447">
        <v>480</v>
      </c>
      <c r="E116" s="448"/>
      <c r="F116" s="449">
        <v>1872</v>
      </c>
      <c r="G116" s="595">
        <v>94</v>
      </c>
      <c r="H116" s="395" t="s">
        <v>224</v>
      </c>
      <c r="I116" s="740"/>
      <c r="J116" s="415" t="s">
        <v>224</v>
      </c>
      <c r="K116" s="603"/>
      <c r="L116" s="452">
        <f t="shared" si="8"/>
        <v>0</v>
      </c>
      <c r="M116" s="596">
        <v>94</v>
      </c>
      <c r="N116" s="597">
        <f t="shared" ref="N116:N127" si="62">L116*M116</f>
        <v>0</v>
      </c>
      <c r="O116" s="453"/>
      <c r="P116" s="397">
        <f t="shared" si="10"/>
        <v>0</v>
      </c>
      <c r="Q116" s="444"/>
      <c r="R116" s="490">
        <f t="shared" si="11"/>
        <v>0</v>
      </c>
      <c r="S116" s="97">
        <f t="shared" si="12"/>
        <v>0</v>
      </c>
      <c r="T116" s="97">
        <f t="shared" si="13"/>
        <v>0</v>
      </c>
      <c r="U116" s="439"/>
      <c r="V116" s="99">
        <f t="shared" si="14"/>
        <v>3.6791666666666667</v>
      </c>
      <c r="W116" s="384">
        <f t="shared" si="15"/>
        <v>3.8999166666666669</v>
      </c>
      <c r="X116" s="442">
        <v>1766</v>
      </c>
      <c r="Y116" s="443">
        <f t="shared" si="16"/>
        <v>1871.96</v>
      </c>
      <c r="Z116" t="s">
        <v>381</v>
      </c>
      <c r="AA116" t="s">
        <v>408</v>
      </c>
      <c r="AB116" t="s">
        <v>411</v>
      </c>
    </row>
    <row r="117" spans="2:28" ht="19.95" customHeight="1" x14ac:dyDescent="0.55000000000000004">
      <c r="B117" s="512" t="s">
        <v>354</v>
      </c>
      <c r="C117" s="624" t="s">
        <v>460</v>
      </c>
      <c r="D117" s="447">
        <v>12</v>
      </c>
      <c r="E117" s="448"/>
      <c r="F117" s="449">
        <v>775</v>
      </c>
      <c r="G117" s="595">
        <v>65</v>
      </c>
      <c r="H117" s="395" t="s">
        <v>229</v>
      </c>
      <c r="I117" s="740"/>
      <c r="J117" s="415" t="s">
        <v>229</v>
      </c>
      <c r="K117" s="626"/>
      <c r="L117" s="452">
        <f>I117-K117</f>
        <v>0</v>
      </c>
      <c r="M117" s="596">
        <v>65</v>
      </c>
      <c r="N117" s="597">
        <f>L117*M117</f>
        <v>0</v>
      </c>
      <c r="O117" s="453"/>
      <c r="P117" s="397">
        <f t="shared" si="10"/>
        <v>0</v>
      </c>
      <c r="Q117" s="444"/>
      <c r="R117" s="490">
        <f>M117*I117</f>
        <v>0</v>
      </c>
      <c r="S117" s="97">
        <f>M117*K117</f>
        <v>0</v>
      </c>
      <c r="T117" s="97">
        <f>M117*L117</f>
        <v>0</v>
      </c>
      <c r="U117" s="439"/>
      <c r="V117" s="99">
        <f t="shared" si="14"/>
        <v>60.916666666666664</v>
      </c>
      <c r="W117" s="384">
        <f t="shared" si="15"/>
        <v>64.571666666666673</v>
      </c>
      <c r="X117" s="442">
        <v>731</v>
      </c>
      <c r="Y117" s="443">
        <f>X117*6/100+X117</f>
        <v>774.86</v>
      </c>
    </row>
    <row r="118" spans="2:28" ht="19.95" customHeight="1" x14ac:dyDescent="0.55000000000000004">
      <c r="B118" s="512" t="s">
        <v>354</v>
      </c>
      <c r="C118" s="624" t="s">
        <v>463</v>
      </c>
      <c r="D118" s="447">
        <v>12</v>
      </c>
      <c r="E118" s="448"/>
      <c r="F118" s="449">
        <v>942</v>
      </c>
      <c r="G118" s="595">
        <v>78.5</v>
      </c>
      <c r="H118" s="395" t="s">
        <v>229</v>
      </c>
      <c r="I118" s="740"/>
      <c r="J118" s="415" t="s">
        <v>464</v>
      </c>
      <c r="K118" s="626"/>
      <c r="L118" s="452">
        <f t="shared" si="8"/>
        <v>0</v>
      </c>
      <c r="M118" s="596">
        <v>79</v>
      </c>
      <c r="N118" s="597">
        <f t="shared" si="62"/>
        <v>0</v>
      </c>
      <c r="O118" s="453"/>
      <c r="P118" s="397">
        <f t="shared" si="10"/>
        <v>0</v>
      </c>
      <c r="Q118" s="444"/>
      <c r="R118" s="490">
        <f t="shared" si="11"/>
        <v>0</v>
      </c>
      <c r="S118" s="97">
        <f t="shared" si="12"/>
        <v>0</v>
      </c>
      <c r="T118" s="97">
        <f t="shared" si="13"/>
        <v>0</v>
      </c>
      <c r="U118" s="439"/>
      <c r="V118" s="99">
        <f t="shared" si="14"/>
        <v>74.083333333333329</v>
      </c>
      <c r="W118" s="384">
        <f t="shared" si="15"/>
        <v>78.528333333333336</v>
      </c>
      <c r="X118" s="442">
        <v>889</v>
      </c>
      <c r="Y118" s="443">
        <f t="shared" si="16"/>
        <v>942.34</v>
      </c>
    </row>
    <row r="119" spans="2:28" ht="19.95" customHeight="1" x14ac:dyDescent="0.55000000000000004">
      <c r="B119" s="512"/>
      <c r="C119" s="677" t="s">
        <v>488</v>
      </c>
      <c r="D119" s="385">
        <v>144</v>
      </c>
      <c r="E119" s="390"/>
      <c r="F119" s="391">
        <v>1100</v>
      </c>
      <c r="G119" s="392">
        <v>183</v>
      </c>
      <c r="H119" s="395" t="s">
        <v>224</v>
      </c>
      <c r="I119" s="740">
        <v>4</v>
      </c>
      <c r="J119" s="415" t="s">
        <v>224</v>
      </c>
      <c r="K119" s="603"/>
      <c r="L119" s="394">
        <f>I119-K119</f>
        <v>4</v>
      </c>
      <c r="M119" s="393">
        <v>185</v>
      </c>
      <c r="N119" s="396">
        <f>L119*M119</f>
        <v>740</v>
      </c>
      <c r="O119" s="112"/>
      <c r="P119" s="397">
        <f t="shared" si="10"/>
        <v>0</v>
      </c>
      <c r="Q119" s="391"/>
      <c r="R119" s="490">
        <f>M119*I119</f>
        <v>740</v>
      </c>
      <c r="S119" s="97">
        <f>M119*K119</f>
        <v>0</v>
      </c>
      <c r="T119" s="97">
        <f>M119*L119</f>
        <v>740</v>
      </c>
      <c r="U119" s="142"/>
      <c r="V119" s="99">
        <f t="shared" si="14"/>
        <v>7.2065972222222223</v>
      </c>
      <c r="W119" s="384">
        <f t="shared" si="15"/>
        <v>7.6389930555555559</v>
      </c>
      <c r="X119" s="380">
        <v>1037.75</v>
      </c>
      <c r="Y119" s="381">
        <f>X119*6/100+X119</f>
        <v>1100.0150000000001</v>
      </c>
      <c r="Z119" t="s">
        <v>381</v>
      </c>
    </row>
    <row r="120" spans="2:28" ht="19.95" customHeight="1" x14ac:dyDescent="0.55000000000000004">
      <c r="B120" s="512"/>
      <c r="C120" s="686" t="s">
        <v>487</v>
      </c>
      <c r="D120" s="385">
        <v>144</v>
      </c>
      <c r="E120" s="390"/>
      <c r="F120" s="391">
        <v>1100</v>
      </c>
      <c r="G120" s="392">
        <v>183</v>
      </c>
      <c r="H120" s="395" t="s">
        <v>224</v>
      </c>
      <c r="I120" s="740"/>
      <c r="J120" s="415" t="s">
        <v>224</v>
      </c>
      <c r="K120" s="603"/>
      <c r="L120" s="394">
        <f>I120-K120</f>
        <v>0</v>
      </c>
      <c r="M120" s="393">
        <v>185</v>
      </c>
      <c r="N120" s="396">
        <f>L120*M120</f>
        <v>0</v>
      </c>
      <c r="O120" s="112"/>
      <c r="P120" s="397">
        <f t="shared" ref="P120" si="63">F120/D120*O120</f>
        <v>0</v>
      </c>
      <c r="Q120" s="391"/>
      <c r="R120" s="490">
        <f>M120*I120</f>
        <v>0</v>
      </c>
      <c r="S120" s="97">
        <f>M120*K120</f>
        <v>0</v>
      </c>
      <c r="T120" s="97">
        <f>M120*L120</f>
        <v>0</v>
      </c>
      <c r="U120" s="142"/>
      <c r="V120" s="99">
        <f t="shared" si="14"/>
        <v>7.2065972222222223</v>
      </c>
      <c r="W120" s="384">
        <f t="shared" si="15"/>
        <v>7.6389930555555559</v>
      </c>
      <c r="X120" s="380">
        <v>1037.75</v>
      </c>
      <c r="Y120" s="381">
        <f>X120*6/100+X120</f>
        <v>1100.0150000000001</v>
      </c>
      <c r="Z120" t="s">
        <v>381</v>
      </c>
    </row>
    <row r="121" spans="2:28" ht="19.95" customHeight="1" x14ac:dyDescent="0.55000000000000004">
      <c r="B121" s="512"/>
      <c r="C121" s="679" t="s">
        <v>470</v>
      </c>
      <c r="D121" s="447">
        <v>12</v>
      </c>
      <c r="E121" s="448"/>
      <c r="F121" s="449">
        <v>1108</v>
      </c>
      <c r="G121" s="595">
        <v>92</v>
      </c>
      <c r="H121" s="395" t="s">
        <v>229</v>
      </c>
      <c r="I121" s="740"/>
      <c r="J121" s="415" t="s">
        <v>229</v>
      </c>
      <c r="K121" s="626"/>
      <c r="L121" s="452">
        <f>I121-K121</f>
        <v>0</v>
      </c>
      <c r="M121" s="596">
        <v>92</v>
      </c>
      <c r="N121" s="597">
        <f>L121*M121</f>
        <v>0</v>
      </c>
      <c r="O121" s="453"/>
      <c r="P121" s="397">
        <f t="shared" ref="P121:P122" si="64">F121/D121*O121</f>
        <v>0</v>
      </c>
      <c r="Q121" s="444"/>
      <c r="R121" s="490">
        <f>M121*I121</f>
        <v>0</v>
      </c>
      <c r="S121" s="97">
        <f>M121*K121</f>
        <v>0</v>
      </c>
      <c r="T121" s="97">
        <f>M121*L121</f>
        <v>0</v>
      </c>
      <c r="U121" s="439"/>
      <c r="V121" s="99">
        <f t="shared" si="14"/>
        <v>87.083333333333329</v>
      </c>
      <c r="W121" s="384">
        <f t="shared" si="15"/>
        <v>92.308333333333337</v>
      </c>
      <c r="X121" s="442">
        <v>1045</v>
      </c>
      <c r="Y121" s="443">
        <f>X121*6/100+X121</f>
        <v>1107.7</v>
      </c>
    </row>
    <row r="122" spans="2:28" ht="19.95" customHeight="1" x14ac:dyDescent="0.55000000000000004">
      <c r="B122" s="512"/>
      <c r="C122" s="679" t="s">
        <v>497</v>
      </c>
      <c r="D122" s="447">
        <v>144</v>
      </c>
      <c r="E122" s="448"/>
      <c r="F122" s="449">
        <v>1100</v>
      </c>
      <c r="G122" s="595">
        <v>183</v>
      </c>
      <c r="H122" s="395" t="s">
        <v>224</v>
      </c>
      <c r="I122" s="740"/>
      <c r="J122" s="415" t="s">
        <v>224</v>
      </c>
      <c r="K122" s="626"/>
      <c r="L122" s="452">
        <f>I122-K122</f>
        <v>0</v>
      </c>
      <c r="M122" s="596">
        <v>183</v>
      </c>
      <c r="N122" s="597">
        <f>L122*M122</f>
        <v>0</v>
      </c>
      <c r="O122" s="453"/>
      <c r="P122" s="397">
        <f t="shared" si="64"/>
        <v>0</v>
      </c>
      <c r="Q122" s="444"/>
      <c r="R122" s="490">
        <f>M122*I122</f>
        <v>0</v>
      </c>
      <c r="S122" s="97">
        <f>M122*K122</f>
        <v>0</v>
      </c>
      <c r="T122" s="97">
        <f>M122*L122</f>
        <v>0</v>
      </c>
      <c r="U122" s="439"/>
      <c r="V122" s="99">
        <f t="shared" si="14"/>
        <v>7.2065972222222223</v>
      </c>
      <c r="W122" s="384">
        <f t="shared" si="15"/>
        <v>7.6389930555555559</v>
      </c>
      <c r="X122" s="442">
        <v>1037.75</v>
      </c>
      <c r="Y122" s="443">
        <f>X122*6/100+X122</f>
        <v>1100.0150000000001</v>
      </c>
    </row>
    <row r="123" spans="2:28" ht="19.95" customHeight="1" x14ac:dyDescent="0.55000000000000004">
      <c r="B123" s="512" t="s">
        <v>354</v>
      </c>
      <c r="C123" s="625" t="s">
        <v>462</v>
      </c>
      <c r="D123" s="447">
        <v>240</v>
      </c>
      <c r="E123" s="448"/>
      <c r="F123" s="449">
        <v>935</v>
      </c>
      <c r="G123" s="595">
        <v>94</v>
      </c>
      <c r="H123" s="395" t="s">
        <v>224</v>
      </c>
      <c r="I123" s="740"/>
      <c r="J123" s="415" t="s">
        <v>224</v>
      </c>
      <c r="K123" s="626"/>
      <c r="L123" s="452">
        <f t="shared" si="8"/>
        <v>0</v>
      </c>
      <c r="M123" s="596">
        <v>95</v>
      </c>
      <c r="N123" s="597">
        <f t="shared" si="62"/>
        <v>0</v>
      </c>
      <c r="O123" s="453"/>
      <c r="P123" s="397">
        <f t="shared" si="10"/>
        <v>0</v>
      </c>
      <c r="Q123" s="444"/>
      <c r="R123" s="490">
        <f t="shared" si="11"/>
        <v>0</v>
      </c>
      <c r="S123" s="97">
        <f t="shared" si="12"/>
        <v>0</v>
      </c>
      <c r="T123" s="97">
        <f t="shared" si="13"/>
        <v>0</v>
      </c>
      <c r="U123" s="439"/>
      <c r="V123" s="99">
        <f t="shared" si="14"/>
        <v>3.6749999999999998</v>
      </c>
      <c r="W123" s="384">
        <f t="shared" si="15"/>
        <v>3.8954999999999997</v>
      </c>
      <c r="X123" s="442">
        <v>882</v>
      </c>
      <c r="Y123" s="443">
        <f t="shared" si="16"/>
        <v>934.92</v>
      </c>
      <c r="Z123" t="s">
        <v>381</v>
      </c>
    </row>
    <row r="124" spans="2:28" ht="19.95" customHeight="1" x14ac:dyDescent="0.55000000000000004">
      <c r="B124" s="512"/>
      <c r="C124" s="625"/>
      <c r="D124" s="447"/>
      <c r="E124" s="448"/>
      <c r="F124" s="449"/>
      <c r="G124" s="595"/>
      <c r="H124" s="395"/>
      <c r="I124" s="668"/>
      <c r="J124" s="415"/>
      <c r="K124" s="626"/>
      <c r="L124" s="452"/>
      <c r="M124" s="596"/>
      <c r="N124" s="597"/>
      <c r="O124" s="453"/>
      <c r="P124" s="397"/>
      <c r="Q124" s="444"/>
      <c r="R124" s="490"/>
      <c r="S124" s="97"/>
      <c r="T124" s="97"/>
      <c r="U124" s="439"/>
      <c r="V124" s="440"/>
      <c r="W124" s="441"/>
      <c r="X124" s="442"/>
      <c r="Y124" s="443"/>
    </row>
    <row r="125" spans="2:28" ht="19.95" customHeight="1" x14ac:dyDescent="0.55000000000000004">
      <c r="B125" s="512"/>
      <c r="C125" s="625"/>
      <c r="D125" s="447"/>
      <c r="E125" s="448"/>
      <c r="F125" s="449"/>
      <c r="G125" s="595"/>
      <c r="H125" s="395"/>
      <c r="I125" s="668"/>
      <c r="J125" s="415"/>
      <c r="K125" s="626"/>
      <c r="L125" s="452"/>
      <c r="M125" s="596"/>
      <c r="N125" s="597"/>
      <c r="O125" s="453"/>
      <c r="P125" s="397"/>
      <c r="Q125" s="444"/>
      <c r="R125" s="490"/>
      <c r="S125" s="97"/>
      <c r="T125" s="97"/>
      <c r="U125" s="439"/>
      <c r="V125" s="440"/>
      <c r="W125" s="441"/>
      <c r="X125" s="442"/>
      <c r="Y125" s="443"/>
    </row>
    <row r="126" spans="2:28" ht="19.95" customHeight="1" x14ac:dyDescent="0.55000000000000004">
      <c r="B126" s="512"/>
      <c r="C126" s="625"/>
      <c r="D126" s="447"/>
      <c r="E126" s="448"/>
      <c r="F126" s="449"/>
      <c r="G126" s="595"/>
      <c r="H126" s="395"/>
      <c r="I126" s="668"/>
      <c r="J126" s="415"/>
      <c r="K126" s="626"/>
      <c r="L126" s="452"/>
      <c r="M126" s="596"/>
      <c r="N126" s="597"/>
      <c r="O126" s="453"/>
      <c r="P126" s="397"/>
      <c r="Q126" s="444"/>
      <c r="R126" s="490"/>
      <c r="S126" s="97"/>
      <c r="T126" s="97"/>
      <c r="U126" s="439"/>
      <c r="V126" s="440"/>
      <c r="W126" s="441"/>
      <c r="X126" s="442"/>
      <c r="Y126" s="443"/>
    </row>
    <row r="127" spans="2:28" ht="16.5" customHeight="1" x14ac:dyDescent="0.55000000000000004">
      <c r="B127" s="512"/>
      <c r="C127" s="625"/>
      <c r="D127" s="447">
        <v>1</v>
      </c>
      <c r="E127" s="448"/>
      <c r="F127" s="449"/>
      <c r="G127" s="595"/>
      <c r="H127" s="395"/>
      <c r="I127" s="668"/>
      <c r="J127" s="415"/>
      <c r="K127" s="626"/>
      <c r="L127" s="452">
        <f t="shared" si="8"/>
        <v>0</v>
      </c>
      <c r="M127" s="596"/>
      <c r="N127" s="597">
        <f t="shared" si="62"/>
        <v>0</v>
      </c>
      <c r="O127" s="453"/>
      <c r="P127" s="397">
        <f t="shared" si="10"/>
        <v>0</v>
      </c>
      <c r="Q127" s="444"/>
      <c r="R127" s="490">
        <f t="shared" si="11"/>
        <v>0</v>
      </c>
      <c r="S127" s="97">
        <f t="shared" si="12"/>
        <v>0</v>
      </c>
      <c r="T127" s="97">
        <f t="shared" si="13"/>
        <v>0</v>
      </c>
      <c r="U127" s="439"/>
      <c r="V127" s="440"/>
      <c r="W127" s="441">
        <f t="shared" ref="W127" si="65">F127/D127</f>
        <v>0</v>
      </c>
      <c r="X127" s="442">
        <v>1037.75</v>
      </c>
      <c r="Y127" s="443">
        <f t="shared" si="16"/>
        <v>1100.0150000000001</v>
      </c>
      <c r="Z127" t="s">
        <v>381</v>
      </c>
    </row>
    <row r="128" spans="2:28" ht="25.8" x14ac:dyDescent="0.45">
      <c r="B128" s="174"/>
      <c r="C128" s="401"/>
      <c r="D128" s="402"/>
      <c r="E128" s="403"/>
      <c r="F128" s="404"/>
      <c r="G128" s="405"/>
      <c r="H128" s="406"/>
      <c r="I128" s="891" t="s">
        <v>365</v>
      </c>
      <c r="J128" s="891"/>
      <c r="K128" s="891"/>
      <c r="L128" s="891"/>
      <c r="M128" s="892"/>
      <c r="N128" s="422">
        <f>SUM(N63:N127)</f>
        <v>22496</v>
      </c>
      <c r="O128" s="804" t="s">
        <v>327</v>
      </c>
      <c r="P128" s="805">
        <f>SUM(P63:P127)</f>
        <v>0</v>
      </c>
      <c r="Q128" s="393"/>
      <c r="R128" s="182">
        <f>SUM(R63:R127)</f>
        <v>22496</v>
      </c>
      <c r="S128" s="182">
        <f>SUM(S63:S127)</f>
        <v>0</v>
      </c>
      <c r="T128" s="182">
        <f>SUM(T63:T127)</f>
        <v>22496</v>
      </c>
      <c r="U128" s="182"/>
      <c r="V128" s="182"/>
      <c r="W128" s="168"/>
      <c r="X128" s="618"/>
      <c r="Y128" s="619"/>
    </row>
    <row r="129" spans="2:25" ht="25.8" x14ac:dyDescent="0.45">
      <c r="B129" s="178"/>
      <c r="C129" s="407"/>
      <c r="D129" s="379"/>
      <c r="E129" s="379"/>
      <c r="F129" s="420" t="s">
        <v>530</v>
      </c>
      <c r="G129" s="420"/>
      <c r="H129" s="420"/>
      <c r="I129" s="420"/>
      <c r="J129" s="420"/>
      <c r="K129" s="420"/>
      <c r="L129" s="921" t="s">
        <v>270</v>
      </c>
      <c r="M129" s="922"/>
      <c r="N129" s="421">
        <f>N128-P128</f>
        <v>22496</v>
      </c>
      <c r="O129" s="416"/>
      <c r="P129" s="352"/>
      <c r="Q129" s="216" t="s">
        <v>121</v>
      </c>
      <c r="R129" s="182" t="s">
        <v>266</v>
      </c>
      <c r="S129" s="182" t="s">
        <v>267</v>
      </c>
      <c r="T129" s="182" t="s">
        <v>268</v>
      </c>
      <c r="U129" s="182"/>
      <c r="V129" s="182"/>
      <c r="W129" s="168"/>
      <c r="X129" s="618"/>
      <c r="Y129" s="619"/>
    </row>
    <row r="130" spans="2:25" ht="11.4" customHeight="1" x14ac:dyDescent="0.45">
      <c r="B130" s="178"/>
      <c r="C130" s="407"/>
      <c r="D130" s="408"/>
      <c r="E130" s="409"/>
      <c r="F130" s="352"/>
      <c r="G130" s="410"/>
      <c r="H130" s="411"/>
      <c r="I130" s="412"/>
      <c r="J130" s="413"/>
      <c r="K130" s="416"/>
      <c r="L130" s="352"/>
      <c r="M130" s="352"/>
      <c r="N130" s="414"/>
      <c r="O130" s="416"/>
      <c r="P130" s="352"/>
      <c r="Q130" s="352"/>
      <c r="R130" s="182"/>
      <c r="S130" s="182"/>
      <c r="T130" s="182"/>
      <c r="U130" s="182"/>
      <c r="V130" s="182"/>
      <c r="W130" s="168"/>
      <c r="X130" s="618"/>
      <c r="Y130" s="619"/>
    </row>
    <row r="131" spans="2:25" ht="9" customHeight="1" x14ac:dyDescent="0.45">
      <c r="B131" s="178"/>
      <c r="C131" s="179"/>
      <c r="D131" s="180"/>
      <c r="E131" s="181"/>
      <c r="F131" s="182"/>
      <c r="G131" s="183"/>
      <c r="H131" s="184"/>
      <c r="I131" s="185"/>
      <c r="J131" s="186"/>
      <c r="K131" s="187"/>
      <c r="L131" s="188"/>
      <c r="M131" s="188"/>
      <c r="N131" s="155"/>
      <c r="O131" s="101"/>
      <c r="P131" s="182"/>
      <c r="Q131" s="182"/>
      <c r="R131" s="182"/>
      <c r="S131" s="182"/>
      <c r="T131" s="182"/>
      <c r="U131" s="182"/>
      <c r="V131" s="182"/>
      <c r="W131" s="168"/>
      <c r="X131" s="618"/>
      <c r="Y131" s="619"/>
    </row>
    <row r="132" spans="2:25" ht="16.2" x14ac:dyDescent="0.45">
      <c r="B132" s="178"/>
      <c r="C132" s="179"/>
      <c r="D132" s="180"/>
      <c r="E132" s="181"/>
      <c r="F132" s="182"/>
      <c r="G132" s="183"/>
      <c r="H132" s="184"/>
      <c r="I132" s="185"/>
      <c r="J132" s="186"/>
      <c r="K132" s="187"/>
      <c r="L132" s="188"/>
      <c r="M132" s="188"/>
      <c r="N132" s="155"/>
      <c r="O132" s="101"/>
      <c r="P132" s="182"/>
      <c r="Q132" s="182"/>
      <c r="R132" s="182"/>
      <c r="S132" s="182"/>
      <c r="T132" s="182"/>
      <c r="U132" s="182"/>
      <c r="V132" s="182"/>
      <c r="W132" s="168"/>
      <c r="X132" s="618"/>
      <c r="Y132" s="619"/>
    </row>
    <row r="133" spans="2:25" ht="19.8" x14ac:dyDescent="0.55000000000000004">
      <c r="B133" s="189"/>
      <c r="C133" s="800" t="s">
        <v>247</v>
      </c>
      <c r="D133" s="190"/>
      <c r="E133" s="191"/>
      <c r="F133" s="192"/>
      <c r="G133" s="193"/>
      <c r="H133" s="194"/>
      <c r="I133" s="195"/>
      <c r="J133" s="196"/>
      <c r="K133" s="197"/>
      <c r="L133" s="192"/>
      <c r="M133" s="198"/>
      <c r="N133" s="919" t="s">
        <v>122</v>
      </c>
      <c r="O133" s="919"/>
      <c r="P133" s="920">
        <f ca="1">TODAY()</f>
        <v>46291</v>
      </c>
      <c r="Q133" s="920"/>
      <c r="R133" s="182"/>
      <c r="S133" s="182"/>
      <c r="T133" s="182"/>
      <c r="U133" s="182"/>
      <c r="V133" s="182"/>
      <c r="W133" s="168"/>
      <c r="X133" s="620"/>
      <c r="Y133" s="621"/>
    </row>
    <row r="134" spans="2:25" ht="38.4" customHeight="1" x14ac:dyDescent="0.3">
      <c r="B134" s="163"/>
      <c r="C134" s="163" t="s">
        <v>214</v>
      </c>
      <c r="D134" s="877" t="s">
        <v>111</v>
      </c>
      <c r="E134" s="878"/>
      <c r="F134" s="141" t="s">
        <v>215</v>
      </c>
      <c r="G134" s="911" t="s">
        <v>216</v>
      </c>
      <c r="H134" s="912"/>
      <c r="I134" s="806" t="s">
        <v>531</v>
      </c>
      <c r="J134" s="806"/>
      <c r="K134" s="163" t="s">
        <v>267</v>
      </c>
      <c r="L134" s="165" t="s">
        <v>219</v>
      </c>
      <c r="M134" s="165" t="s">
        <v>220</v>
      </c>
      <c r="N134" s="166" t="s">
        <v>221</v>
      </c>
      <c r="O134" s="359" t="s">
        <v>255</v>
      </c>
      <c r="P134" s="164" t="s">
        <v>532</v>
      </c>
      <c r="Q134" s="93" t="s">
        <v>121</v>
      </c>
      <c r="R134" s="274" t="s">
        <v>264</v>
      </c>
      <c r="S134" s="274" t="s">
        <v>262</v>
      </c>
      <c r="T134" s="275" t="s">
        <v>265</v>
      </c>
      <c r="U134" s="98" t="s">
        <v>224</v>
      </c>
      <c r="V134" s="140" t="s">
        <v>225</v>
      </c>
      <c r="W134" s="141" t="s">
        <v>226</v>
      </c>
      <c r="X134" s="382" t="s">
        <v>364</v>
      </c>
      <c r="Y134" s="383" t="s">
        <v>377</v>
      </c>
    </row>
    <row r="135" spans="2:25" ht="17.399999999999999" customHeight="1" x14ac:dyDescent="0.4">
      <c r="B135" s="171">
        <v>1</v>
      </c>
      <c r="C135" s="680" t="s">
        <v>474</v>
      </c>
      <c r="D135" s="199">
        <v>80</v>
      </c>
      <c r="E135" s="94" t="s">
        <v>228</v>
      </c>
      <c r="F135" s="94">
        <v>600</v>
      </c>
      <c r="G135" s="200">
        <v>157</v>
      </c>
      <c r="H135" s="201" t="s">
        <v>249</v>
      </c>
      <c r="I135" s="801">
        <v>36</v>
      </c>
      <c r="J135" s="156"/>
      <c r="K135" s="602"/>
      <c r="L135" s="202">
        <f t="shared" si="0"/>
        <v>36</v>
      </c>
      <c r="M135" s="97">
        <v>630</v>
      </c>
      <c r="N135" s="97">
        <f t="shared" ref="N135:N154" si="66">L135*M135</f>
        <v>22680</v>
      </c>
      <c r="O135" s="744"/>
      <c r="P135" s="397">
        <f>F135/D135*O135</f>
        <v>0</v>
      </c>
      <c r="Q135" s="97"/>
      <c r="R135" s="97">
        <f>I135*M135</f>
        <v>22680</v>
      </c>
      <c r="S135" s="97">
        <f>K135*M135</f>
        <v>0</v>
      </c>
      <c r="T135" s="97">
        <f>M135*L135</f>
        <v>22680</v>
      </c>
      <c r="U135" s="144" t="s">
        <v>95</v>
      </c>
      <c r="V135" s="145" t="s">
        <v>250</v>
      </c>
      <c r="W135" s="345">
        <f t="shared" ref="W135:W150" si="67">F135/D135</f>
        <v>7.5</v>
      </c>
      <c r="X135" s="380">
        <v>600</v>
      </c>
      <c r="Y135" s="381">
        <f>X135*5/100+X135</f>
        <v>630</v>
      </c>
    </row>
    <row r="136" spans="2:25" ht="19.95" customHeight="1" x14ac:dyDescent="0.5">
      <c r="B136" s="171">
        <v>2</v>
      </c>
      <c r="C136" s="681" t="s">
        <v>475</v>
      </c>
      <c r="D136" s="203">
        <v>26</v>
      </c>
      <c r="E136" s="204" t="s">
        <v>228</v>
      </c>
      <c r="F136" s="97">
        <v>1183</v>
      </c>
      <c r="G136" s="203">
        <v>620</v>
      </c>
      <c r="H136" s="205" t="s">
        <v>249</v>
      </c>
      <c r="I136" s="741">
        <v>1</v>
      </c>
      <c r="J136" s="415"/>
      <c r="K136" s="602"/>
      <c r="L136" s="202">
        <f t="shared" si="0"/>
        <v>1</v>
      </c>
      <c r="M136" s="97">
        <v>630</v>
      </c>
      <c r="N136" s="97">
        <f t="shared" si="66"/>
        <v>630</v>
      </c>
      <c r="O136" s="744"/>
      <c r="P136" s="397">
        <f t="shared" ref="P136:P150" si="68">F136/D136*O136</f>
        <v>0</v>
      </c>
      <c r="Q136" s="97"/>
      <c r="R136" s="97">
        <f t="shared" ref="R136:R154" si="69">I136*M136</f>
        <v>630</v>
      </c>
      <c r="S136" s="97">
        <f t="shared" ref="S136:S154" si="70">K136*M136</f>
        <v>0</v>
      </c>
      <c r="T136" s="97">
        <f t="shared" ref="T136:T154" si="71">M136*L136</f>
        <v>630</v>
      </c>
      <c r="U136" s="144" t="s">
        <v>97</v>
      </c>
      <c r="V136" s="145" t="s">
        <v>251</v>
      </c>
      <c r="W136" s="157">
        <f t="shared" si="67"/>
        <v>45.5</v>
      </c>
      <c r="X136" s="380">
        <v>591</v>
      </c>
      <c r="Y136" s="381">
        <f t="shared" si="16"/>
        <v>626.46</v>
      </c>
    </row>
    <row r="137" spans="2:25" ht="19.95" customHeight="1" x14ac:dyDescent="0.4">
      <c r="B137" s="171">
        <v>3</v>
      </c>
      <c r="C137" s="206" t="s">
        <v>476</v>
      </c>
      <c r="D137" s="203">
        <v>288</v>
      </c>
      <c r="E137" s="204" t="s">
        <v>228</v>
      </c>
      <c r="F137" s="97">
        <v>2308</v>
      </c>
      <c r="G137" s="207">
        <v>192</v>
      </c>
      <c r="H137" s="208" t="s">
        <v>249</v>
      </c>
      <c r="I137" s="741"/>
      <c r="J137" s="415"/>
      <c r="K137" s="602"/>
      <c r="L137" s="202">
        <f t="shared" si="0"/>
        <v>0</v>
      </c>
      <c r="M137" s="97">
        <v>192</v>
      </c>
      <c r="N137" s="97">
        <f t="shared" si="66"/>
        <v>0</v>
      </c>
      <c r="O137" s="744"/>
      <c r="P137" s="397">
        <f t="shared" si="68"/>
        <v>0</v>
      </c>
      <c r="Q137" s="97"/>
      <c r="R137" s="97">
        <f t="shared" si="69"/>
        <v>0</v>
      </c>
      <c r="S137" s="97">
        <f t="shared" si="70"/>
        <v>0</v>
      </c>
      <c r="T137" s="97">
        <f t="shared" si="71"/>
        <v>0</v>
      </c>
      <c r="U137" s="144" t="s">
        <v>94</v>
      </c>
      <c r="V137" s="145" t="s">
        <v>82</v>
      </c>
      <c r="W137" s="157">
        <f t="shared" si="67"/>
        <v>8.0138888888888893</v>
      </c>
      <c r="X137" s="380">
        <v>181</v>
      </c>
      <c r="Y137" s="381">
        <f t="shared" si="16"/>
        <v>191.86</v>
      </c>
    </row>
    <row r="138" spans="2:25" ht="19.95" customHeight="1" x14ac:dyDescent="0.4">
      <c r="B138" s="171">
        <v>4</v>
      </c>
      <c r="C138" s="682" t="s">
        <v>477</v>
      </c>
      <c r="D138" s="209">
        <v>72</v>
      </c>
      <c r="E138" s="97" t="s">
        <v>228</v>
      </c>
      <c r="F138" s="97">
        <v>2868</v>
      </c>
      <c r="G138" s="207">
        <v>480</v>
      </c>
      <c r="H138" s="208" t="s">
        <v>249</v>
      </c>
      <c r="I138" s="741">
        <v>2</v>
      </c>
      <c r="J138" s="415"/>
      <c r="K138" s="602"/>
      <c r="L138" s="202">
        <f t="shared" si="0"/>
        <v>2</v>
      </c>
      <c r="M138" s="97">
        <v>480</v>
      </c>
      <c r="N138" s="97">
        <f t="shared" si="66"/>
        <v>960</v>
      </c>
      <c r="O138" s="744"/>
      <c r="P138" s="397">
        <f t="shared" si="68"/>
        <v>0</v>
      </c>
      <c r="Q138" s="97"/>
      <c r="R138" s="97">
        <f t="shared" si="69"/>
        <v>960</v>
      </c>
      <c r="S138" s="97">
        <f t="shared" si="70"/>
        <v>0</v>
      </c>
      <c r="T138" s="97">
        <f t="shared" si="71"/>
        <v>960</v>
      </c>
      <c r="U138" s="144" t="s">
        <v>83</v>
      </c>
      <c r="V138" s="145" t="s">
        <v>84</v>
      </c>
      <c r="W138" s="157">
        <f t="shared" si="67"/>
        <v>39.833333333333336</v>
      </c>
      <c r="X138" s="380">
        <v>451</v>
      </c>
      <c r="Y138" s="381">
        <f t="shared" si="16"/>
        <v>478.06</v>
      </c>
    </row>
    <row r="139" spans="2:25" ht="19.95" customHeight="1" x14ac:dyDescent="0.4">
      <c r="B139" s="171">
        <v>5</v>
      </c>
      <c r="C139" s="682" t="s">
        <v>478</v>
      </c>
      <c r="D139" s="209">
        <v>24</v>
      </c>
      <c r="E139" s="204" t="s">
        <v>228</v>
      </c>
      <c r="F139" s="97">
        <v>1914</v>
      </c>
      <c r="G139" s="207">
        <v>480</v>
      </c>
      <c r="H139" s="208" t="s">
        <v>249</v>
      </c>
      <c r="I139" s="741">
        <v>2</v>
      </c>
      <c r="J139" s="415"/>
      <c r="K139" s="602"/>
      <c r="L139" s="202">
        <f t="shared" si="0"/>
        <v>2</v>
      </c>
      <c r="M139" s="97">
        <v>480</v>
      </c>
      <c r="N139" s="97">
        <f t="shared" si="66"/>
        <v>960</v>
      </c>
      <c r="O139" s="744"/>
      <c r="P139" s="397">
        <f t="shared" si="68"/>
        <v>0</v>
      </c>
      <c r="Q139" s="97"/>
      <c r="R139" s="97">
        <f t="shared" si="69"/>
        <v>960</v>
      </c>
      <c r="S139" s="97">
        <f t="shared" si="70"/>
        <v>0</v>
      </c>
      <c r="T139" s="97">
        <f t="shared" si="71"/>
        <v>960</v>
      </c>
      <c r="U139" s="144" t="s">
        <v>95</v>
      </c>
      <c r="V139" s="145" t="s">
        <v>85</v>
      </c>
      <c r="W139" s="157">
        <f t="shared" si="67"/>
        <v>79.75</v>
      </c>
      <c r="X139" s="380">
        <v>451</v>
      </c>
      <c r="Y139" s="381">
        <f t="shared" si="16"/>
        <v>478.06</v>
      </c>
    </row>
    <row r="140" spans="2:25" ht="19.95" customHeight="1" x14ac:dyDescent="0.5">
      <c r="B140" s="171">
        <v>6</v>
      </c>
      <c r="C140" s="681" t="s">
        <v>479</v>
      </c>
      <c r="D140" s="172">
        <v>60</v>
      </c>
      <c r="E140" s="210" t="s">
        <v>228</v>
      </c>
      <c r="F140" s="211">
        <v>2380</v>
      </c>
      <c r="G140" s="147">
        <v>476</v>
      </c>
      <c r="H140" s="208" t="s">
        <v>249</v>
      </c>
      <c r="I140" s="741"/>
      <c r="J140" s="415"/>
      <c r="K140" s="602"/>
      <c r="L140" s="202">
        <f t="shared" si="0"/>
        <v>0</v>
      </c>
      <c r="M140" s="97">
        <v>480</v>
      </c>
      <c r="N140" s="97">
        <f t="shared" si="66"/>
        <v>0</v>
      </c>
      <c r="O140" s="744"/>
      <c r="P140" s="397">
        <f t="shared" si="68"/>
        <v>0</v>
      </c>
      <c r="Q140" s="97"/>
      <c r="R140" s="97">
        <f t="shared" si="69"/>
        <v>0</v>
      </c>
      <c r="S140" s="97">
        <f t="shared" si="70"/>
        <v>0</v>
      </c>
      <c r="T140" s="97">
        <f t="shared" si="71"/>
        <v>0</v>
      </c>
      <c r="U140" s="144" t="s">
        <v>252</v>
      </c>
      <c r="V140" s="145" t="s">
        <v>84</v>
      </c>
      <c r="W140" s="157">
        <f t="shared" si="67"/>
        <v>39.666666666666664</v>
      </c>
      <c r="X140" s="380">
        <v>449</v>
      </c>
      <c r="Y140" s="381">
        <f t="shared" si="16"/>
        <v>475.94</v>
      </c>
    </row>
    <row r="141" spans="2:25" ht="19.95" customHeight="1" x14ac:dyDescent="0.5">
      <c r="B141" s="171">
        <v>7</v>
      </c>
      <c r="C141" s="681" t="s">
        <v>480</v>
      </c>
      <c r="D141" s="172">
        <v>24</v>
      </c>
      <c r="E141" s="210" t="s">
        <v>228</v>
      </c>
      <c r="F141" s="97">
        <v>1915</v>
      </c>
      <c r="G141" s="147">
        <v>478</v>
      </c>
      <c r="H141" s="208" t="s">
        <v>249</v>
      </c>
      <c r="I141" s="741">
        <v>2</v>
      </c>
      <c r="J141" s="415"/>
      <c r="K141" s="602"/>
      <c r="L141" s="202">
        <f t="shared" si="0"/>
        <v>2</v>
      </c>
      <c r="M141" s="97">
        <v>480</v>
      </c>
      <c r="N141" s="97">
        <f t="shared" si="66"/>
        <v>960</v>
      </c>
      <c r="O141" s="744"/>
      <c r="P141" s="397">
        <f t="shared" si="68"/>
        <v>0</v>
      </c>
      <c r="Q141" s="97"/>
      <c r="R141" s="97">
        <f t="shared" si="69"/>
        <v>960</v>
      </c>
      <c r="S141" s="97">
        <f t="shared" si="70"/>
        <v>0</v>
      </c>
      <c r="T141" s="97">
        <f t="shared" si="71"/>
        <v>960</v>
      </c>
      <c r="U141" s="144" t="s">
        <v>95</v>
      </c>
      <c r="V141" s="145" t="s">
        <v>85</v>
      </c>
      <c r="W141" s="157">
        <f t="shared" si="67"/>
        <v>79.791666666666671</v>
      </c>
      <c r="X141" s="380">
        <v>451</v>
      </c>
      <c r="Y141" s="381">
        <f t="shared" si="16"/>
        <v>478.06</v>
      </c>
    </row>
    <row r="142" spans="2:25" ht="19.95" customHeight="1" x14ac:dyDescent="0.55000000000000004">
      <c r="B142" s="171"/>
      <c r="C142" s="615" t="s">
        <v>481</v>
      </c>
      <c r="D142" s="203">
        <v>50</v>
      </c>
      <c r="E142" s="204" t="s">
        <v>228</v>
      </c>
      <c r="F142" s="97">
        <v>1950</v>
      </c>
      <c r="G142" s="609">
        <v>39</v>
      </c>
      <c r="H142" s="208" t="s">
        <v>229</v>
      </c>
      <c r="I142" s="741"/>
      <c r="J142" s="213"/>
      <c r="K142" s="602"/>
      <c r="L142" s="202">
        <f t="shared" si="0"/>
        <v>0</v>
      </c>
      <c r="M142" s="97">
        <v>39</v>
      </c>
      <c r="N142" s="97">
        <f t="shared" si="66"/>
        <v>0</v>
      </c>
      <c r="O142" s="744"/>
      <c r="P142" s="397">
        <f t="shared" si="68"/>
        <v>0</v>
      </c>
      <c r="Q142" s="97"/>
      <c r="R142" s="97">
        <f t="shared" si="69"/>
        <v>0</v>
      </c>
      <c r="S142" s="97">
        <f>K142*M142</f>
        <v>0</v>
      </c>
      <c r="T142" s="97">
        <f t="shared" si="71"/>
        <v>0</v>
      </c>
      <c r="U142" s="99"/>
      <c r="V142" s="99" t="s">
        <v>455</v>
      </c>
      <c r="W142" s="157">
        <f>F142/D142</f>
        <v>39</v>
      </c>
      <c r="X142" s="380">
        <v>1839.5</v>
      </c>
      <c r="Y142" s="381">
        <f t="shared" ref="Y142:Y154" si="72">X142*6/100+X142</f>
        <v>1949.87</v>
      </c>
    </row>
    <row r="143" spans="2:25" ht="19.95" customHeight="1" x14ac:dyDescent="0.55000000000000004">
      <c r="B143" s="171">
        <v>8</v>
      </c>
      <c r="C143" s="683" t="s">
        <v>482</v>
      </c>
      <c r="D143" s="203">
        <v>432</v>
      </c>
      <c r="E143" s="204" t="s">
        <v>228</v>
      </c>
      <c r="F143" s="97">
        <v>1680</v>
      </c>
      <c r="G143" s="212">
        <v>47</v>
      </c>
      <c r="H143" s="208" t="s">
        <v>253</v>
      </c>
      <c r="I143" s="741">
        <v>12</v>
      </c>
      <c r="J143" s="504"/>
      <c r="K143" s="602"/>
      <c r="L143" s="202">
        <f t="shared" si="0"/>
        <v>12</v>
      </c>
      <c r="M143" s="97">
        <v>47</v>
      </c>
      <c r="N143" s="97">
        <f t="shared" si="66"/>
        <v>564</v>
      </c>
      <c r="O143" s="744"/>
      <c r="P143" s="397">
        <f t="shared" si="68"/>
        <v>0</v>
      </c>
      <c r="Q143" s="97"/>
      <c r="R143" s="97">
        <f t="shared" si="69"/>
        <v>564</v>
      </c>
      <c r="S143" s="97">
        <f t="shared" si="70"/>
        <v>0</v>
      </c>
      <c r="T143" s="97">
        <f t="shared" si="71"/>
        <v>564</v>
      </c>
      <c r="U143" s="145" t="s">
        <v>91</v>
      </c>
      <c r="V143" s="145" t="s">
        <v>92</v>
      </c>
      <c r="W143" s="157">
        <f t="shared" si="67"/>
        <v>3.8888888888888888</v>
      </c>
      <c r="X143" s="380">
        <v>1584</v>
      </c>
      <c r="Y143" s="381">
        <f t="shared" si="72"/>
        <v>1679.04</v>
      </c>
    </row>
    <row r="144" spans="2:25" ht="19.95" customHeight="1" x14ac:dyDescent="0.55000000000000004">
      <c r="B144" s="171">
        <v>9</v>
      </c>
      <c r="C144" s="683" t="s">
        <v>483</v>
      </c>
      <c r="D144" s="203">
        <v>432</v>
      </c>
      <c r="E144" s="204" t="s">
        <v>228</v>
      </c>
      <c r="F144" s="97">
        <v>1680</v>
      </c>
      <c r="G144" s="212">
        <v>47</v>
      </c>
      <c r="H144" s="208" t="s">
        <v>253</v>
      </c>
      <c r="I144" s="799"/>
      <c r="J144" s="504"/>
      <c r="K144" s="602"/>
      <c r="L144" s="202">
        <f t="shared" si="0"/>
        <v>0</v>
      </c>
      <c r="M144" s="97">
        <v>47</v>
      </c>
      <c r="N144" s="97">
        <f t="shared" si="66"/>
        <v>0</v>
      </c>
      <c r="O144" s="744"/>
      <c r="P144" s="397">
        <f t="shared" si="68"/>
        <v>0</v>
      </c>
      <c r="Q144" s="97"/>
      <c r="R144" s="97">
        <f t="shared" si="69"/>
        <v>0</v>
      </c>
      <c r="S144" s="97">
        <f t="shared" si="70"/>
        <v>0</v>
      </c>
      <c r="T144" s="97">
        <f t="shared" si="71"/>
        <v>0</v>
      </c>
      <c r="U144" s="145" t="s">
        <v>91</v>
      </c>
      <c r="V144" s="145" t="s">
        <v>92</v>
      </c>
      <c r="W144" s="157">
        <f t="shared" si="67"/>
        <v>3.8888888888888888</v>
      </c>
      <c r="X144" s="380">
        <v>1584</v>
      </c>
      <c r="Y144" s="381">
        <f t="shared" si="72"/>
        <v>1679.04</v>
      </c>
    </row>
    <row r="145" spans="2:25" ht="19.95" customHeight="1" x14ac:dyDescent="0.45">
      <c r="B145" s="171">
        <v>10</v>
      </c>
      <c r="C145" s="146" t="s">
        <v>484</v>
      </c>
      <c r="D145" s="203">
        <v>780</v>
      </c>
      <c r="E145" s="204" t="s">
        <v>228</v>
      </c>
      <c r="F145" s="211">
        <v>1705</v>
      </c>
      <c r="G145" s="147">
        <v>26</v>
      </c>
      <c r="H145" s="208" t="s">
        <v>253</v>
      </c>
      <c r="I145" s="741">
        <v>1</v>
      </c>
      <c r="J145" s="504"/>
      <c r="K145" s="602"/>
      <c r="L145" s="202">
        <f t="shared" si="0"/>
        <v>1</v>
      </c>
      <c r="M145" s="97">
        <v>26</v>
      </c>
      <c r="N145" s="97">
        <f t="shared" si="66"/>
        <v>26</v>
      </c>
      <c r="O145" s="744"/>
      <c r="P145" s="397">
        <f t="shared" si="68"/>
        <v>0</v>
      </c>
      <c r="Q145" s="97"/>
      <c r="R145" s="97">
        <f t="shared" si="69"/>
        <v>26</v>
      </c>
      <c r="S145" s="97">
        <f t="shared" si="70"/>
        <v>0</v>
      </c>
      <c r="T145" s="97">
        <f t="shared" si="71"/>
        <v>26</v>
      </c>
      <c r="U145" s="144" t="s">
        <v>93</v>
      </c>
      <c r="V145" s="145"/>
      <c r="W145" s="157">
        <f t="shared" si="67"/>
        <v>2.1858974358974357</v>
      </c>
      <c r="X145" s="380">
        <v>1608</v>
      </c>
      <c r="Y145" s="381">
        <f t="shared" si="72"/>
        <v>1704.48</v>
      </c>
    </row>
    <row r="146" spans="2:25" ht="19.95" customHeight="1" x14ac:dyDescent="0.45">
      <c r="B146" s="171">
        <v>11</v>
      </c>
      <c r="C146" s="206" t="s">
        <v>485</v>
      </c>
      <c r="D146" s="209">
        <v>12</v>
      </c>
      <c r="E146" s="204" t="s">
        <v>228</v>
      </c>
      <c r="F146" s="97">
        <v>500</v>
      </c>
      <c r="G146" s="207">
        <v>42</v>
      </c>
      <c r="H146" s="208" t="s">
        <v>234</v>
      </c>
      <c r="I146" s="741">
        <v>0.5</v>
      </c>
      <c r="J146" s="415"/>
      <c r="K146" s="602"/>
      <c r="L146" s="202">
        <f t="shared" si="0"/>
        <v>0.5</v>
      </c>
      <c r="M146" s="97">
        <v>500</v>
      </c>
      <c r="N146" s="97">
        <f t="shared" si="66"/>
        <v>250</v>
      </c>
      <c r="O146" s="744"/>
      <c r="P146" s="397">
        <f t="shared" si="68"/>
        <v>0</v>
      </c>
      <c r="Q146" s="97"/>
      <c r="R146" s="97">
        <f t="shared" si="69"/>
        <v>250</v>
      </c>
      <c r="S146" s="97">
        <f t="shared" si="70"/>
        <v>0</v>
      </c>
      <c r="T146" s="97">
        <f t="shared" si="71"/>
        <v>250</v>
      </c>
      <c r="U146" s="142"/>
      <c r="V146" s="99"/>
      <c r="W146" s="157">
        <f t="shared" si="67"/>
        <v>41.666666666666664</v>
      </c>
      <c r="X146" s="380">
        <v>474.6</v>
      </c>
      <c r="Y146" s="381">
        <f t="shared" si="72"/>
        <v>503.07600000000002</v>
      </c>
    </row>
    <row r="147" spans="2:25" ht="19.95" customHeight="1" x14ac:dyDescent="0.3">
      <c r="B147" s="171">
        <v>12</v>
      </c>
      <c r="C147" s="734" t="s">
        <v>513</v>
      </c>
      <c r="D147" s="209">
        <v>12</v>
      </c>
      <c r="E147" s="204" t="s">
        <v>228</v>
      </c>
      <c r="F147" s="97">
        <v>612</v>
      </c>
      <c r="G147" s="207">
        <v>50</v>
      </c>
      <c r="H147" s="208" t="s">
        <v>234</v>
      </c>
      <c r="I147" s="741"/>
      <c r="J147" s="415"/>
      <c r="K147" s="602"/>
      <c r="L147" s="202">
        <f t="shared" si="0"/>
        <v>0</v>
      </c>
      <c r="M147" s="97">
        <v>612</v>
      </c>
      <c r="N147" s="97">
        <f t="shared" si="66"/>
        <v>0</v>
      </c>
      <c r="O147" s="744"/>
      <c r="P147" s="397">
        <f t="shared" si="68"/>
        <v>0</v>
      </c>
      <c r="Q147" s="97"/>
      <c r="R147" s="97">
        <f t="shared" si="69"/>
        <v>0</v>
      </c>
      <c r="S147" s="97">
        <f t="shared" si="70"/>
        <v>0</v>
      </c>
      <c r="T147" s="97">
        <f t="shared" si="71"/>
        <v>0</v>
      </c>
      <c r="U147" s="99"/>
      <c r="V147" s="99"/>
      <c r="W147" s="157">
        <f t="shared" si="67"/>
        <v>51</v>
      </c>
      <c r="X147" s="380">
        <v>577</v>
      </c>
      <c r="Y147" s="381">
        <f t="shared" si="72"/>
        <v>611.62</v>
      </c>
    </row>
    <row r="148" spans="2:25" ht="19.95" customHeight="1" x14ac:dyDescent="0.3">
      <c r="B148" s="171">
        <v>13</v>
      </c>
      <c r="C148" s="173" t="s">
        <v>486</v>
      </c>
      <c r="D148" s="209">
        <v>60</v>
      </c>
      <c r="E148" s="204" t="s">
        <v>228</v>
      </c>
      <c r="F148" s="97">
        <v>255</v>
      </c>
      <c r="G148" s="207">
        <v>4.5</v>
      </c>
      <c r="H148" s="208" t="s">
        <v>229</v>
      </c>
      <c r="I148" s="741"/>
      <c r="J148" s="415"/>
      <c r="K148" s="602"/>
      <c r="L148" s="202">
        <f t="shared" si="0"/>
        <v>0</v>
      </c>
      <c r="M148" s="97">
        <v>255</v>
      </c>
      <c r="N148" s="97">
        <f t="shared" si="66"/>
        <v>0</v>
      </c>
      <c r="O148" s="744"/>
      <c r="P148" s="397">
        <f t="shared" si="68"/>
        <v>0</v>
      </c>
      <c r="Q148" s="97"/>
      <c r="R148" s="97">
        <f t="shared" si="69"/>
        <v>0</v>
      </c>
      <c r="S148" s="97">
        <f t="shared" si="70"/>
        <v>0</v>
      </c>
      <c r="T148" s="97">
        <f t="shared" si="71"/>
        <v>0</v>
      </c>
      <c r="U148" s="99"/>
      <c r="V148" s="99"/>
      <c r="W148" s="157">
        <f t="shared" si="67"/>
        <v>4.25</v>
      </c>
      <c r="X148" s="380">
        <v>240</v>
      </c>
      <c r="Y148" s="381">
        <f t="shared" si="72"/>
        <v>254.4</v>
      </c>
    </row>
    <row r="149" spans="2:25" ht="19.95" customHeight="1" x14ac:dyDescent="0.45">
      <c r="B149" s="171">
        <v>14</v>
      </c>
      <c r="C149" s="146" t="s">
        <v>489</v>
      </c>
      <c r="D149" s="203">
        <v>48</v>
      </c>
      <c r="E149" s="204" t="s">
        <v>228</v>
      </c>
      <c r="F149" s="97">
        <v>2857</v>
      </c>
      <c r="G149" s="97">
        <v>60</v>
      </c>
      <c r="H149" s="208" t="s">
        <v>229</v>
      </c>
      <c r="I149" s="741"/>
      <c r="J149" s="213"/>
      <c r="K149" s="602"/>
      <c r="L149" s="202">
        <f t="shared" si="0"/>
        <v>0</v>
      </c>
      <c r="M149" s="97">
        <v>60</v>
      </c>
      <c r="N149" s="97">
        <f t="shared" si="66"/>
        <v>0</v>
      </c>
      <c r="O149" s="744"/>
      <c r="P149" s="397">
        <f t="shared" si="68"/>
        <v>0</v>
      </c>
      <c r="Q149" s="97"/>
      <c r="R149" s="97">
        <f t="shared" si="69"/>
        <v>0</v>
      </c>
      <c r="S149" s="97">
        <f t="shared" si="70"/>
        <v>0</v>
      </c>
      <c r="T149" s="97">
        <f t="shared" si="71"/>
        <v>0</v>
      </c>
      <c r="U149" s="99"/>
      <c r="V149" s="99"/>
      <c r="W149" s="157">
        <f t="shared" si="67"/>
        <v>59.520833333333336</v>
      </c>
      <c r="X149" s="380">
        <v>2695</v>
      </c>
      <c r="Y149" s="381">
        <f t="shared" si="72"/>
        <v>2856.7</v>
      </c>
    </row>
    <row r="150" spans="2:25" ht="19.95" customHeight="1" x14ac:dyDescent="0.45">
      <c r="B150" s="171">
        <v>15</v>
      </c>
      <c r="C150" s="146" t="s">
        <v>490</v>
      </c>
      <c r="D150" s="203">
        <v>48</v>
      </c>
      <c r="E150" s="204" t="s">
        <v>228</v>
      </c>
      <c r="F150" s="97">
        <v>2857</v>
      </c>
      <c r="G150" s="97">
        <v>60</v>
      </c>
      <c r="H150" s="208" t="s">
        <v>229</v>
      </c>
      <c r="I150" s="741"/>
      <c r="J150" s="213"/>
      <c r="K150" s="602"/>
      <c r="L150" s="202">
        <f t="shared" ref="L150:L153" si="73">I150-K150</f>
        <v>0</v>
      </c>
      <c r="M150" s="97">
        <v>60</v>
      </c>
      <c r="N150" s="97">
        <f t="shared" si="66"/>
        <v>0</v>
      </c>
      <c r="O150" s="744"/>
      <c r="P150" s="397">
        <f t="shared" si="68"/>
        <v>0</v>
      </c>
      <c r="Q150" s="97"/>
      <c r="R150" s="97">
        <f t="shared" si="69"/>
        <v>0</v>
      </c>
      <c r="S150" s="97">
        <f t="shared" si="70"/>
        <v>0</v>
      </c>
      <c r="T150" s="97">
        <f t="shared" si="71"/>
        <v>0</v>
      </c>
      <c r="U150" s="99"/>
      <c r="V150" s="99"/>
      <c r="W150" s="157">
        <f t="shared" si="67"/>
        <v>59.520833333333336</v>
      </c>
      <c r="X150" s="380">
        <v>2695</v>
      </c>
      <c r="Y150" s="381">
        <f t="shared" si="72"/>
        <v>2856.7</v>
      </c>
    </row>
    <row r="151" spans="2:25" ht="19.95" customHeight="1" x14ac:dyDescent="0.45">
      <c r="B151" s="171">
        <v>16</v>
      </c>
      <c r="C151" s="146" t="s">
        <v>491</v>
      </c>
      <c r="D151" s="203">
        <v>720</v>
      </c>
      <c r="E151" s="204" t="s">
        <v>228</v>
      </c>
      <c r="F151" s="211">
        <v>5616</v>
      </c>
      <c r="G151" s="147">
        <v>250</v>
      </c>
      <c r="H151" s="208" t="s">
        <v>234</v>
      </c>
      <c r="I151" s="741"/>
      <c r="J151" s="213"/>
      <c r="K151" s="602"/>
      <c r="L151" s="202">
        <f t="shared" si="73"/>
        <v>0</v>
      </c>
      <c r="M151" s="97">
        <v>250</v>
      </c>
      <c r="N151" s="97">
        <f t="shared" ref="N151:N152" si="74">L151*M151</f>
        <v>0</v>
      </c>
      <c r="O151" s="744"/>
      <c r="P151" s="397">
        <f t="shared" ref="P151:P152" si="75">F151/D151*O151</f>
        <v>0</v>
      </c>
      <c r="Q151" s="95"/>
      <c r="R151" s="97">
        <f t="shared" si="69"/>
        <v>0</v>
      </c>
      <c r="S151" s="97">
        <f t="shared" ref="S151:S153" si="76">K151*M151</f>
        <v>0</v>
      </c>
      <c r="T151" s="97">
        <f t="shared" ref="T151:T153" si="77">M151*L151</f>
        <v>0</v>
      </c>
      <c r="U151" s="99" t="s">
        <v>337</v>
      </c>
      <c r="V151" s="99" t="s">
        <v>338</v>
      </c>
      <c r="W151" s="158">
        <f t="shared" ref="W151" si="78">F151/D151</f>
        <v>7.8</v>
      </c>
      <c r="X151" s="380">
        <v>5300</v>
      </c>
      <c r="Y151" s="381">
        <f t="shared" ref="Y151" si="79">X151*6/100+X151</f>
        <v>5618</v>
      </c>
    </row>
    <row r="152" spans="2:25" ht="19.95" customHeight="1" x14ac:dyDescent="0.55000000000000004">
      <c r="B152" s="171">
        <v>17</v>
      </c>
      <c r="C152" s="683" t="s">
        <v>506</v>
      </c>
      <c r="D152" s="203">
        <v>240</v>
      </c>
      <c r="E152" s="204" t="s">
        <v>516</v>
      </c>
      <c r="F152" s="97">
        <v>1680</v>
      </c>
      <c r="G152" s="212">
        <v>84</v>
      </c>
      <c r="H152" s="208" t="s">
        <v>253</v>
      </c>
      <c r="I152" s="741"/>
      <c r="J152" s="504"/>
      <c r="K152" s="602"/>
      <c r="L152" s="202">
        <f t="shared" si="73"/>
        <v>0</v>
      </c>
      <c r="M152" s="97">
        <v>84</v>
      </c>
      <c r="N152" s="97">
        <f t="shared" si="74"/>
        <v>0</v>
      </c>
      <c r="O152" s="744"/>
      <c r="P152" s="397">
        <f t="shared" si="75"/>
        <v>0</v>
      </c>
      <c r="Q152" s="97"/>
      <c r="R152" s="97">
        <f t="shared" si="69"/>
        <v>0</v>
      </c>
      <c r="S152" s="97">
        <f t="shared" si="76"/>
        <v>0</v>
      </c>
      <c r="T152" s="97">
        <f t="shared" si="77"/>
        <v>0</v>
      </c>
      <c r="U152" s="145" t="s">
        <v>515</v>
      </c>
      <c r="V152" s="145" t="s">
        <v>92</v>
      </c>
      <c r="W152" s="158">
        <f t="shared" ref="W152" si="80">F152/D152</f>
        <v>7</v>
      </c>
      <c r="X152" s="380">
        <v>1584</v>
      </c>
      <c r="Y152" s="381">
        <f t="shared" ref="Y152:Y153" si="81">X152*6/100+X152</f>
        <v>1679.04</v>
      </c>
    </row>
    <row r="153" spans="2:25" s="824" customFormat="1" ht="19.95" customHeight="1" x14ac:dyDescent="0.55000000000000004">
      <c r="B153" s="810">
        <v>18</v>
      </c>
      <c r="C153" s="811" t="s">
        <v>519</v>
      </c>
      <c r="D153" s="812"/>
      <c r="E153" s="813"/>
      <c r="F153" s="325"/>
      <c r="G153" s="814">
        <v>0</v>
      </c>
      <c r="H153" s="815"/>
      <c r="I153" s="740"/>
      <c r="J153" s="816"/>
      <c r="K153" s="740"/>
      <c r="L153" s="817">
        <f t="shared" si="73"/>
        <v>0</v>
      </c>
      <c r="M153" s="325">
        <v>8160</v>
      </c>
      <c r="N153" s="325">
        <f t="shared" ref="N153" si="82">L153*M153</f>
        <v>0</v>
      </c>
      <c r="O153" s="818"/>
      <c r="P153" s="819"/>
      <c r="Q153" s="325"/>
      <c r="R153" s="543">
        <f t="shared" si="69"/>
        <v>0</v>
      </c>
      <c r="S153" s="543">
        <f t="shared" si="76"/>
        <v>0</v>
      </c>
      <c r="T153" s="543">
        <f t="shared" si="77"/>
        <v>0</v>
      </c>
      <c r="U153" s="820"/>
      <c r="V153" s="820"/>
      <c r="W153" s="821"/>
      <c r="X153" s="822"/>
      <c r="Y153" s="823">
        <f t="shared" si="81"/>
        <v>0</v>
      </c>
    </row>
    <row r="154" spans="2:25" ht="19.95" customHeight="1" x14ac:dyDescent="0.45">
      <c r="B154" s="171"/>
      <c r="C154" s="146"/>
      <c r="D154" s="203"/>
      <c r="E154" s="204"/>
      <c r="F154" s="211"/>
      <c r="G154" s="147"/>
      <c r="H154" s="208"/>
      <c r="I154" s="742"/>
      <c r="J154" s="213"/>
      <c r="K154" s="602"/>
      <c r="L154" s="202"/>
      <c r="M154" s="97"/>
      <c r="N154" s="97">
        <f t="shared" si="66"/>
        <v>0</v>
      </c>
      <c r="O154" s="744"/>
      <c r="P154" s="397"/>
      <c r="Q154" s="95"/>
      <c r="R154" s="97">
        <f t="shared" si="69"/>
        <v>0</v>
      </c>
      <c r="S154" s="97">
        <f t="shared" si="70"/>
        <v>0</v>
      </c>
      <c r="T154" s="97">
        <f t="shared" si="71"/>
        <v>0</v>
      </c>
      <c r="U154" s="99"/>
      <c r="V154" s="99"/>
      <c r="W154" s="158"/>
      <c r="X154" s="380"/>
      <c r="Y154" s="381">
        <f t="shared" si="72"/>
        <v>0</v>
      </c>
    </row>
    <row r="155" spans="2:25" ht="29.4" customHeight="1" x14ac:dyDescent="0.45">
      <c r="B155" s="154"/>
      <c r="C155" s="100" t="s">
        <v>274</v>
      </c>
      <c r="D155" s="102"/>
      <c r="E155" s="102"/>
      <c r="F155" s="159"/>
      <c r="G155" s="159"/>
      <c r="H155" s="159"/>
      <c r="I155" s="159"/>
      <c r="J155" s="159"/>
      <c r="K155" s="945" t="s">
        <v>254</v>
      </c>
      <c r="L155" s="946"/>
      <c r="M155" s="946"/>
      <c r="N155" s="364">
        <f>SUM(N135:N154)</f>
        <v>27030</v>
      </c>
      <c r="O155" s="359" t="s">
        <v>255</v>
      </c>
      <c r="P155" s="360">
        <f>SUM(P135:P154)</f>
        <v>0</v>
      </c>
      <c r="Q155" s="347">
        <f>SUM(Q135:Q154)</f>
        <v>0</v>
      </c>
      <c r="R155" s="361">
        <f>SUM(R135:R154)</f>
        <v>27030</v>
      </c>
      <c r="S155" s="361">
        <f>SUM(S135:S154)</f>
        <v>0</v>
      </c>
      <c r="T155" s="361">
        <f>SUM(T135:T154)</f>
        <v>27030</v>
      </c>
      <c r="U155" s="159"/>
      <c r="V155" s="159"/>
      <c r="W155" s="168"/>
      <c r="X155" s="91"/>
    </row>
    <row r="156" spans="2:25" ht="25.8" x14ac:dyDescent="0.45">
      <c r="B156" s="101"/>
      <c r="C156" s="369"/>
      <c r="D156" s="895"/>
      <c r="E156" s="895"/>
      <c r="F156" s="370"/>
      <c r="G156" s="159"/>
      <c r="H156" s="944"/>
      <c r="I156" s="944"/>
      <c r="J156" s="953"/>
      <c r="K156" s="954"/>
      <c r="L156" s="282"/>
      <c r="M156" s="282"/>
      <c r="N156" s="951" t="s">
        <v>419</v>
      </c>
      <c r="O156" s="952"/>
      <c r="P156" s="362">
        <f>P128</f>
        <v>0</v>
      </c>
      <c r="Q156" s="283" t="s">
        <v>121</v>
      </c>
      <c r="R156" s="263" t="s">
        <v>269</v>
      </c>
      <c r="S156" s="263" t="s">
        <v>267</v>
      </c>
      <c r="T156" s="263" t="s">
        <v>268</v>
      </c>
      <c r="U156" s="159"/>
      <c r="V156" s="159"/>
      <c r="W156" s="168"/>
      <c r="X156" s="91"/>
    </row>
    <row r="157" spans="2:25" ht="28.8" customHeight="1" x14ac:dyDescent="0.45">
      <c r="B157" s="101"/>
      <c r="C157" s="893"/>
      <c r="D157" s="893"/>
      <c r="E157" s="893"/>
      <c r="F157" s="893"/>
      <c r="G157" s="894"/>
      <c r="H157" s="945" t="s">
        <v>333</v>
      </c>
      <c r="I157" s="946"/>
      <c r="J157" s="946"/>
      <c r="K157" s="955">
        <f>N155-P155</f>
        <v>27030</v>
      </c>
      <c r="L157" s="956"/>
      <c r="M157" s="949" t="s">
        <v>256</v>
      </c>
      <c r="N157" s="950"/>
      <c r="O157" s="950"/>
      <c r="P157" s="360">
        <f>SUM(P155:P156)</f>
        <v>0</v>
      </c>
      <c r="Q157" s="159"/>
      <c r="R157" s="159"/>
      <c r="S157" s="159"/>
      <c r="T157" s="159"/>
      <c r="U157" s="159"/>
      <c r="V157" s="159"/>
      <c r="W157" s="168"/>
      <c r="X157" s="91"/>
    </row>
    <row r="158" spans="2:25" ht="28.2" x14ac:dyDescent="0.75">
      <c r="B158" s="101"/>
      <c r="C158" s="371"/>
      <c r="D158" s="908"/>
      <c r="E158" s="908"/>
      <c r="F158" s="372"/>
      <c r="G158" s="159"/>
      <c r="H158" s="159"/>
      <c r="I158" s="957" t="s">
        <v>330</v>
      </c>
      <c r="J158" s="957"/>
      <c r="K158" s="957"/>
      <c r="L158" s="957"/>
      <c r="M158" s="958"/>
      <c r="N158" s="363">
        <f>N60</f>
        <v>0</v>
      </c>
      <c r="O158" s="160"/>
      <c r="P158" s="160"/>
      <c r="Q158" s="159"/>
      <c r="R158" s="159"/>
      <c r="S158" s="159"/>
      <c r="T158" s="159"/>
      <c r="U158" s="159"/>
      <c r="V158" s="159"/>
      <c r="W158" s="168"/>
      <c r="X158" s="91"/>
    </row>
    <row r="159" spans="2:25" ht="25.8" x14ac:dyDescent="0.7">
      <c r="B159" s="101"/>
      <c r="C159" s="102"/>
      <c r="D159" s="102"/>
      <c r="E159" s="102"/>
      <c r="F159" s="159"/>
      <c r="G159" s="159"/>
      <c r="H159" s="159"/>
      <c r="I159" s="947" t="s">
        <v>331</v>
      </c>
      <c r="J159" s="947"/>
      <c r="K159" s="947"/>
      <c r="L159" s="947"/>
      <c r="M159" s="948"/>
      <c r="N159" s="355">
        <f>K157</f>
        <v>27030</v>
      </c>
      <c r="O159" s="160"/>
      <c r="P159" s="160"/>
      <c r="Q159" s="159"/>
      <c r="R159" s="159"/>
      <c r="S159" s="159"/>
      <c r="T159" s="159"/>
      <c r="U159" s="159"/>
      <c r="V159" s="159"/>
      <c r="W159" s="168"/>
      <c r="X159" s="91"/>
    </row>
    <row r="160" spans="2:25" ht="30" customHeight="1" x14ac:dyDescent="0.7">
      <c r="B160" s="101"/>
      <c r="C160" s="684"/>
      <c r="D160" s="102"/>
      <c r="E160" s="102"/>
      <c r="F160" s="159"/>
      <c r="G160" s="159"/>
      <c r="H160" s="159"/>
      <c r="I160" s="907" t="s">
        <v>422</v>
      </c>
      <c r="J160" s="907"/>
      <c r="K160" s="907"/>
      <c r="L160" s="907"/>
      <c r="M160" s="907"/>
      <c r="N160" s="355">
        <f>N129</f>
        <v>22496</v>
      </c>
      <c r="O160" s="160"/>
      <c r="P160" s="160"/>
      <c r="Q160" s="159"/>
      <c r="R160" s="159"/>
      <c r="S160" s="159"/>
      <c r="T160" s="159"/>
      <c r="U160" s="159"/>
      <c r="V160" s="159"/>
      <c r="W160" s="168"/>
      <c r="X160" s="91"/>
    </row>
    <row r="161" spans="2:24" ht="19.95" customHeight="1" x14ac:dyDescent="0.45">
      <c r="B161" s="101"/>
      <c r="C161" s="765"/>
      <c r="D161" s="96">
        <v>1000</v>
      </c>
      <c r="E161" s="744"/>
      <c r="F161" s="97">
        <f>D161*E161</f>
        <v>0</v>
      </c>
      <c r="G161" s="159"/>
      <c r="H161" s="759"/>
      <c r="I161" s="159"/>
      <c r="J161" s="159"/>
      <c r="K161" s="160"/>
      <c r="L161" s="104"/>
      <c r="M161" s="159"/>
      <c r="N161" s="104"/>
      <c r="O161" s="160"/>
      <c r="P161" s="160"/>
      <c r="Q161" s="159"/>
      <c r="R161" s="159"/>
      <c r="S161" s="159"/>
      <c r="T161" s="159"/>
      <c r="U161" s="159"/>
      <c r="V161" s="159"/>
      <c r="W161" s="168"/>
      <c r="X161" s="91"/>
    </row>
    <row r="162" spans="2:24" ht="19.95" customHeight="1" x14ac:dyDescent="0.45">
      <c r="B162" s="101"/>
      <c r="C162" s="101"/>
      <c r="D162" s="96">
        <v>500</v>
      </c>
      <c r="E162" s="110"/>
      <c r="F162" s="97">
        <f t="shared" ref="F162:F168" si="83">D162*E162</f>
        <v>0</v>
      </c>
      <c r="G162" s="159"/>
      <c r="H162" s="123"/>
      <c r="I162" s="159"/>
      <c r="J162" s="904" t="s">
        <v>207</v>
      </c>
      <c r="K162" s="905"/>
      <c r="L162" s="905"/>
      <c r="M162" s="905"/>
      <c r="N162" s="906"/>
      <c r="O162" s="753">
        <f>SUM(N159,N160)</f>
        <v>49526</v>
      </c>
      <c r="P162" s="101"/>
      <c r="Q162" s="104"/>
      <c r="R162" s="104"/>
      <c r="S162" s="104"/>
      <c r="T162" s="104"/>
      <c r="U162" s="159"/>
      <c r="V162" s="159"/>
      <c r="W162" s="168"/>
      <c r="X162" s="91"/>
    </row>
    <row r="163" spans="2:24" ht="19.95" customHeight="1" x14ac:dyDescent="0.65">
      <c r="B163" s="101"/>
      <c r="C163" s="123"/>
      <c r="D163" s="96">
        <v>200</v>
      </c>
      <c r="E163" s="110"/>
      <c r="F163" s="97">
        <f t="shared" si="83"/>
        <v>0</v>
      </c>
      <c r="G163" s="161"/>
      <c r="H163" s="123"/>
      <c r="I163" s="159"/>
      <c r="J163" s="278"/>
      <c r="K163" s="279"/>
      <c r="L163" s="280"/>
      <c r="M163" s="278"/>
      <c r="N163" s="356" t="s">
        <v>208</v>
      </c>
      <c r="O163" s="754">
        <f>F169</f>
        <v>0</v>
      </c>
      <c r="P163" s="101"/>
      <c r="Q163" s="104"/>
      <c r="R163" s="104"/>
      <c r="S163" s="104"/>
      <c r="T163" s="104"/>
      <c r="U163" s="159" t="s">
        <v>473</v>
      </c>
      <c r="V163" s="159"/>
      <c r="W163" s="698"/>
      <c r="X163" s="91"/>
    </row>
    <row r="164" spans="2:24" ht="19.95" customHeight="1" x14ac:dyDescent="0.65">
      <c r="B164" s="162"/>
      <c r="C164" s="214"/>
      <c r="D164" s="215">
        <v>100</v>
      </c>
      <c r="E164" s="110"/>
      <c r="F164" s="97">
        <f t="shared" si="83"/>
        <v>0</v>
      </c>
      <c r="G164" s="168"/>
      <c r="H164" s="123"/>
      <c r="I164" s="168"/>
      <c r="J164" s="281"/>
      <c r="K164" s="281"/>
      <c r="L164" s="281"/>
      <c r="M164" s="281"/>
      <c r="N164" s="357" t="s">
        <v>209</v>
      </c>
      <c r="O164" s="744"/>
      <c r="P164" s="731"/>
      <c r="Q164" s="731"/>
      <c r="R164" s="731"/>
      <c r="S164" s="731"/>
      <c r="T164" s="731"/>
      <c r="U164" s="168"/>
      <c r="V164" s="168"/>
      <c r="W164" s="168"/>
      <c r="X164" s="91"/>
    </row>
    <row r="165" spans="2:24" ht="19.95" customHeight="1" x14ac:dyDescent="0.65">
      <c r="B165" s="162"/>
      <c r="C165" s="214"/>
      <c r="D165" s="215">
        <v>50</v>
      </c>
      <c r="E165" s="110"/>
      <c r="F165" s="97">
        <f t="shared" si="83"/>
        <v>0</v>
      </c>
      <c r="G165" s="168"/>
      <c r="H165" s="123"/>
      <c r="I165" s="168"/>
      <c r="J165" s="281"/>
      <c r="K165" s="281"/>
      <c r="L165" s="281"/>
      <c r="M165" s="281"/>
      <c r="N165" s="357" t="s">
        <v>257</v>
      </c>
      <c r="O165" s="744"/>
      <c r="P165" s="927"/>
      <c r="Q165" s="927"/>
      <c r="R165" s="927"/>
      <c r="S165" s="927"/>
      <c r="T165" s="927"/>
      <c r="U165" s="168"/>
      <c r="V165" s="168"/>
      <c r="W165" s="168"/>
      <c r="X165" s="91"/>
    </row>
    <row r="166" spans="2:24" ht="19.95" customHeight="1" x14ac:dyDescent="0.65">
      <c r="B166" s="162"/>
      <c r="C166" s="762"/>
      <c r="D166" s="215">
        <v>20</v>
      </c>
      <c r="E166" s="110"/>
      <c r="F166" s="97">
        <f t="shared" si="83"/>
        <v>0</v>
      </c>
      <c r="G166" s="168"/>
      <c r="H166" s="123"/>
      <c r="I166" s="168"/>
      <c r="J166" s="281"/>
      <c r="K166" s="281"/>
      <c r="L166" s="281"/>
      <c r="M166" s="281"/>
      <c r="N166" s="622" t="s">
        <v>121</v>
      </c>
      <c r="O166" s="755"/>
      <c r="P166" s="732"/>
      <c r="Q166" s="732"/>
      <c r="R166" s="731"/>
      <c r="S166" s="731"/>
      <c r="T166" s="731"/>
      <c r="U166" s="168"/>
      <c r="V166" s="168"/>
      <c r="W166" s="168"/>
      <c r="X166" s="91"/>
    </row>
    <row r="167" spans="2:24" ht="19.95" customHeight="1" x14ac:dyDescent="0.65">
      <c r="B167" s="162"/>
      <c r="C167" s="808"/>
      <c r="D167" s="215">
        <v>10</v>
      </c>
      <c r="E167" s="110"/>
      <c r="F167" s="97">
        <f t="shared" si="83"/>
        <v>0</v>
      </c>
      <c r="G167" s="761"/>
      <c r="H167" s="123"/>
      <c r="I167" s="168"/>
      <c r="J167" s="281"/>
      <c r="K167" s="281"/>
      <c r="L167" s="281"/>
      <c r="M167" s="281"/>
      <c r="N167" s="358" t="s">
        <v>332</v>
      </c>
      <c r="O167" s="744"/>
      <c r="P167" s="936" t="s">
        <v>538</v>
      </c>
      <c r="Q167" s="936"/>
      <c r="R167" s="749"/>
      <c r="S167" s="749"/>
      <c r="T167" s="749"/>
      <c r="U167" s="168"/>
      <c r="V167" s="168"/>
      <c r="W167" s="168"/>
      <c r="X167" s="91"/>
    </row>
    <row r="168" spans="2:24" ht="19.95" customHeight="1" x14ac:dyDescent="0.65">
      <c r="B168" s="162"/>
      <c r="C168" s="737">
        <v>22600</v>
      </c>
      <c r="D168" s="215">
        <v>1</v>
      </c>
      <c r="E168" s="103"/>
      <c r="F168" s="97">
        <f t="shared" si="83"/>
        <v>0</v>
      </c>
      <c r="G168" s="760"/>
      <c r="H168" s="731"/>
      <c r="I168" s="168"/>
      <c r="J168" s="281">
        <v>1</v>
      </c>
      <c r="K168" s="281"/>
      <c r="L168" s="281"/>
      <c r="M168" s="281"/>
      <c r="N168" s="465" t="s">
        <v>211</v>
      </c>
      <c r="O168" s="756">
        <f>O162-O163-O164-O165-O166-O167</f>
        <v>49526</v>
      </c>
      <c r="P168" s="750" t="s">
        <v>534</v>
      </c>
      <c r="Q168" s="751"/>
      <c r="R168" s="731"/>
      <c r="S168" s="731"/>
      <c r="T168" s="731"/>
      <c r="U168" s="168"/>
      <c r="V168" s="168"/>
      <c r="W168" s="168"/>
      <c r="X168" s="91"/>
    </row>
    <row r="169" spans="2:24" ht="19.95" customHeight="1" x14ac:dyDescent="0.3">
      <c r="B169" s="162"/>
      <c r="C169" s="735"/>
      <c r="D169" s="928" t="s">
        <v>212</v>
      </c>
      <c r="E169" s="929"/>
      <c r="F169" s="692">
        <f>SUM(F161:F168)</f>
        <v>0</v>
      </c>
      <c r="G169" s="934" t="s">
        <v>514</v>
      </c>
      <c r="H169" s="935"/>
      <c r="I169" s="933" t="s">
        <v>540</v>
      </c>
      <c r="J169" s="933"/>
      <c r="K169" s="168"/>
      <c r="L169" s="168"/>
      <c r="M169" s="168"/>
      <c r="N169" s="745" t="s">
        <v>514</v>
      </c>
      <c r="O169" s="933" t="s">
        <v>540</v>
      </c>
      <c r="P169" s="933"/>
      <c r="Q169" s="168"/>
      <c r="R169" s="168"/>
      <c r="S169" s="168"/>
      <c r="T169" s="168"/>
      <c r="U169" s="168"/>
      <c r="V169" s="168"/>
      <c r="W169" s="168"/>
      <c r="X169" s="91"/>
    </row>
    <row r="170" spans="2:24" ht="18" customHeight="1" x14ac:dyDescent="0.3">
      <c r="B170" s="162"/>
      <c r="C170" s="938"/>
      <c r="D170" s="938"/>
      <c r="G170" s="939" t="s">
        <v>539</v>
      </c>
      <c r="H170" s="939"/>
      <c r="I170" s="939"/>
      <c r="J170" s="939"/>
      <c r="N170" s="938" t="s">
        <v>539</v>
      </c>
      <c r="O170" s="938"/>
    </row>
    <row r="171" spans="2:24" ht="18" customHeight="1" x14ac:dyDescent="0.3">
      <c r="B171" s="162"/>
      <c r="C171" s="896" t="s">
        <v>227</v>
      </c>
      <c r="D171" s="897"/>
      <c r="E171" s="898"/>
      <c r="G171" s="930" t="s">
        <v>335</v>
      </c>
      <c r="H171" s="931"/>
      <c r="I171" s="931"/>
      <c r="J171" s="931"/>
      <c r="K171" s="932"/>
      <c r="L171" s="284"/>
      <c r="M171" s="284"/>
      <c r="N171" s="896" t="s">
        <v>389</v>
      </c>
      <c r="O171" s="898"/>
    </row>
    <row r="172" spans="2:24" ht="18" customHeight="1" x14ac:dyDescent="0.3">
      <c r="B172" s="688"/>
      <c r="C172" s="462" t="s">
        <v>264</v>
      </c>
      <c r="D172" s="902">
        <f>R59</f>
        <v>0</v>
      </c>
      <c r="E172" s="902"/>
      <c r="G172" s="899" t="s">
        <v>264</v>
      </c>
      <c r="H172" s="900"/>
      <c r="I172" s="901"/>
      <c r="J172" s="937">
        <f>R128</f>
        <v>22496</v>
      </c>
      <c r="K172" s="937"/>
      <c r="N172" s="463" t="s">
        <v>264</v>
      </c>
      <c r="O172" s="464">
        <f>R155</f>
        <v>27030</v>
      </c>
      <c r="P172" t="s">
        <v>473</v>
      </c>
    </row>
    <row r="173" spans="2:24" ht="18" customHeight="1" x14ac:dyDescent="0.3">
      <c r="B173" s="688"/>
      <c r="C173" s="462" t="s">
        <v>385</v>
      </c>
      <c r="D173" s="902">
        <f>S59</f>
        <v>0</v>
      </c>
      <c r="E173" s="902"/>
      <c r="G173" s="899" t="s">
        <v>385</v>
      </c>
      <c r="H173" s="900"/>
      <c r="I173" s="901"/>
      <c r="J173" s="937">
        <f>S128</f>
        <v>0</v>
      </c>
      <c r="K173" s="937"/>
      <c r="N173" s="463" t="s">
        <v>385</v>
      </c>
      <c r="O173" s="763">
        <f>S155</f>
        <v>0</v>
      </c>
      <c r="P173" t="s">
        <v>535</v>
      </c>
    </row>
    <row r="174" spans="2:24" ht="18" customHeight="1" x14ac:dyDescent="0.3">
      <c r="B174" s="688"/>
      <c r="C174" s="462" t="s">
        <v>386</v>
      </c>
      <c r="D174" s="902">
        <f>T59</f>
        <v>0</v>
      </c>
      <c r="E174" s="902"/>
      <c r="G174" s="899" t="s">
        <v>386</v>
      </c>
      <c r="H174" s="900"/>
      <c r="I174" s="901"/>
      <c r="J174" s="937">
        <f>T128</f>
        <v>22496</v>
      </c>
      <c r="K174" s="937"/>
      <c r="N174" s="463" t="s">
        <v>386</v>
      </c>
      <c r="O174" s="464">
        <f>T155</f>
        <v>27030</v>
      </c>
    </row>
    <row r="175" spans="2:24" ht="18" customHeight="1" x14ac:dyDescent="0.3">
      <c r="B175" s="688"/>
      <c r="C175" s="462" t="s">
        <v>261</v>
      </c>
      <c r="D175" s="943">
        <f>P59</f>
        <v>0</v>
      </c>
      <c r="E175" s="943"/>
      <c r="G175" s="899" t="s">
        <v>261</v>
      </c>
      <c r="H175" s="900"/>
      <c r="I175" s="901"/>
      <c r="J175" s="937">
        <f>P156</f>
        <v>0</v>
      </c>
      <c r="K175" s="937"/>
      <c r="N175" s="463" t="s">
        <v>261</v>
      </c>
      <c r="O175" s="464">
        <f>P155</f>
        <v>0</v>
      </c>
    </row>
    <row r="176" spans="2:24" ht="18" customHeight="1" x14ac:dyDescent="0.3">
      <c r="B176" s="688"/>
      <c r="C176" s="462" t="s">
        <v>387</v>
      </c>
      <c r="D176" s="902">
        <f>Q59</f>
        <v>0</v>
      </c>
      <c r="E176" s="902"/>
      <c r="G176" s="940" t="s">
        <v>387</v>
      </c>
      <c r="H176" s="941"/>
      <c r="I176" s="942"/>
      <c r="J176" s="903">
        <v>160</v>
      </c>
      <c r="K176" s="903"/>
      <c r="L176" s="65"/>
      <c r="M176" s="65"/>
      <c r="N176" s="722" t="s">
        <v>387</v>
      </c>
      <c r="O176" s="723">
        <v>570</v>
      </c>
    </row>
    <row r="177" spans="2:24" ht="18" customHeight="1" x14ac:dyDescent="0.3">
      <c r="B177" s="688"/>
      <c r="C177" s="462" t="s">
        <v>388</v>
      </c>
      <c r="D177" s="888">
        <f>D174-D175-D176</f>
        <v>0</v>
      </c>
      <c r="E177" s="888"/>
      <c r="G177" s="899" t="s">
        <v>388</v>
      </c>
      <c r="H177" s="900"/>
      <c r="I177" s="901"/>
      <c r="J177" s="888">
        <f>J174-J175-J176</f>
        <v>22336</v>
      </c>
      <c r="K177" s="888"/>
      <c r="N177" s="463" t="s">
        <v>388</v>
      </c>
      <c r="O177" s="464">
        <f>O174-O175-O176</f>
        <v>26460</v>
      </c>
    </row>
    <row r="178" spans="2:24" ht="18" customHeight="1" x14ac:dyDescent="0.3">
      <c r="B178" s="688"/>
    </row>
    <row r="179" spans="2:24" x14ac:dyDescent="0.3">
      <c r="B179" s="688"/>
      <c r="S179" t="s">
        <v>320</v>
      </c>
      <c r="X179" t="s">
        <v>322</v>
      </c>
    </row>
    <row r="180" spans="2:24" x14ac:dyDescent="0.3">
      <c r="B180" s="688"/>
    </row>
    <row r="181" spans="2:24" x14ac:dyDescent="0.3">
      <c r="B181" s="688"/>
    </row>
    <row r="182" spans="2:24" x14ac:dyDescent="0.3">
      <c r="B182" s="688"/>
    </row>
    <row r="183" spans="2:24" x14ac:dyDescent="0.3">
      <c r="B183" s="688"/>
    </row>
    <row r="184" spans="2:24" x14ac:dyDescent="0.3">
      <c r="B184" s="688"/>
    </row>
    <row r="185" spans="2:24" x14ac:dyDescent="0.3">
      <c r="B185" s="688"/>
    </row>
    <row r="186" spans="2:24" x14ac:dyDescent="0.3">
      <c r="B186" s="688"/>
    </row>
    <row r="187" spans="2:24" x14ac:dyDescent="0.3">
      <c r="B187" s="688"/>
    </row>
    <row r="188" spans="2:24" x14ac:dyDescent="0.3">
      <c r="B188" s="688"/>
    </row>
    <row r="189" spans="2:24" x14ac:dyDescent="0.3">
      <c r="B189" s="688"/>
    </row>
    <row r="190" spans="2:24" x14ac:dyDescent="0.3">
      <c r="B190" s="688"/>
    </row>
    <row r="191" spans="2:24" x14ac:dyDescent="0.3">
      <c r="B191" s="688"/>
    </row>
    <row r="192" spans="2:24" x14ac:dyDescent="0.3">
      <c r="B192" s="688"/>
    </row>
    <row r="193" spans="2:14" x14ac:dyDescent="0.3">
      <c r="B193" s="688"/>
    </row>
    <row r="194" spans="2:14" x14ac:dyDescent="0.3">
      <c r="B194" s="688"/>
    </row>
    <row r="195" spans="2:14" x14ac:dyDescent="0.3">
      <c r="B195" s="688"/>
    </row>
    <row r="196" spans="2:14" x14ac:dyDescent="0.3">
      <c r="B196" s="688"/>
      <c r="C196" s="326"/>
      <c r="D196" t="s">
        <v>315</v>
      </c>
      <c r="J196" t="s">
        <v>313</v>
      </c>
      <c r="N196" s="332"/>
    </row>
    <row r="197" spans="2:14" x14ac:dyDescent="0.3">
      <c r="B197" s="688"/>
      <c r="C197" s="327" t="s">
        <v>294</v>
      </c>
      <c r="D197" t="s">
        <v>314</v>
      </c>
      <c r="J197" t="s">
        <v>314</v>
      </c>
    </row>
    <row r="198" spans="2:14" x14ac:dyDescent="0.3">
      <c r="B198" s="688"/>
      <c r="C198" s="326" t="s">
        <v>295</v>
      </c>
      <c r="D198" t="s">
        <v>296</v>
      </c>
    </row>
    <row r="199" spans="2:14" x14ac:dyDescent="0.3">
      <c r="B199" s="688"/>
    </row>
    <row r="200" spans="2:14" x14ac:dyDescent="0.3">
      <c r="B200" s="688"/>
    </row>
    <row r="201" spans="2:14" x14ac:dyDescent="0.3">
      <c r="C201" s="326" t="s">
        <v>492</v>
      </c>
      <c r="D201" t="s">
        <v>297</v>
      </c>
    </row>
    <row r="202" spans="2:14" x14ac:dyDescent="0.3">
      <c r="B202" s="688"/>
      <c r="C202" s="326"/>
    </row>
    <row r="203" spans="2:14" x14ac:dyDescent="0.3">
      <c r="B203" s="688"/>
      <c r="C203" s="326"/>
      <c r="D203" t="s">
        <v>298</v>
      </c>
    </row>
    <row r="204" spans="2:14" x14ac:dyDescent="0.3">
      <c r="B204" s="688"/>
      <c r="C204" s="326"/>
    </row>
    <row r="205" spans="2:14" x14ac:dyDescent="0.3">
      <c r="B205" s="688"/>
      <c r="C205" s="326" t="s">
        <v>299</v>
      </c>
      <c r="D205" t="s">
        <v>300</v>
      </c>
    </row>
    <row r="206" spans="2:14" x14ac:dyDescent="0.3">
      <c r="B206" s="688"/>
      <c r="C206" s="326"/>
      <c r="D206" t="s">
        <v>301</v>
      </c>
    </row>
    <row r="207" spans="2:14" x14ac:dyDescent="0.3">
      <c r="B207" s="688"/>
      <c r="C207" s="326"/>
      <c r="D207" t="s">
        <v>302</v>
      </c>
    </row>
    <row r="208" spans="2:14" x14ac:dyDescent="0.3">
      <c r="B208" s="688"/>
      <c r="C208" s="326" t="s">
        <v>303</v>
      </c>
      <c r="D208" t="s">
        <v>304</v>
      </c>
    </row>
    <row r="209" spans="2:4" x14ac:dyDescent="0.3">
      <c r="B209" s="688"/>
      <c r="C209" s="326"/>
      <c r="D209" t="s">
        <v>305</v>
      </c>
    </row>
    <row r="210" spans="2:4" x14ac:dyDescent="0.3">
      <c r="B210" s="688"/>
      <c r="C210" s="326"/>
      <c r="D210" t="s">
        <v>306</v>
      </c>
    </row>
    <row r="211" spans="2:4" x14ac:dyDescent="0.3">
      <c r="B211" s="688"/>
    </row>
    <row r="212" spans="2:4" ht="18" x14ac:dyDescent="0.35">
      <c r="B212" s="688"/>
      <c r="D212" s="328" t="s">
        <v>307</v>
      </c>
    </row>
    <row r="213" spans="2:4" x14ac:dyDescent="0.3">
      <c r="B213" s="688"/>
      <c r="D213" t="s">
        <v>308</v>
      </c>
    </row>
    <row r="214" spans="2:4" x14ac:dyDescent="0.3">
      <c r="B214" s="688"/>
      <c r="D214" t="s">
        <v>309</v>
      </c>
    </row>
    <row r="215" spans="2:4" x14ac:dyDescent="0.3">
      <c r="B215" s="688"/>
      <c r="D215" t="s">
        <v>310</v>
      </c>
    </row>
    <row r="216" spans="2:4" x14ac:dyDescent="0.3">
      <c r="B216" s="688"/>
      <c r="D216" t="s">
        <v>311</v>
      </c>
    </row>
    <row r="217" spans="2:4" x14ac:dyDescent="0.3">
      <c r="B217" s="688"/>
    </row>
    <row r="218" spans="2:4" ht="22.8" customHeight="1" x14ac:dyDescent="0.3">
      <c r="C218" s="689">
        <f>SUM(B163:B217)</f>
        <v>0</v>
      </c>
    </row>
    <row r="219" spans="2:4" x14ac:dyDescent="0.3">
      <c r="D219" t="s">
        <v>316</v>
      </c>
    </row>
    <row r="221" spans="2:4" x14ac:dyDescent="0.3">
      <c r="D221" t="s">
        <v>317</v>
      </c>
    </row>
    <row r="222" spans="2:4" x14ac:dyDescent="0.3">
      <c r="D222" t="s">
        <v>318</v>
      </c>
    </row>
  </sheetData>
  <mergeCells count="68">
    <mergeCell ref="P133:Q133"/>
    <mergeCell ref="H156:I156"/>
    <mergeCell ref="K155:M155"/>
    <mergeCell ref="I159:M159"/>
    <mergeCell ref="M157:O157"/>
    <mergeCell ref="N156:O156"/>
    <mergeCell ref="J156:K156"/>
    <mergeCell ref="K157:L157"/>
    <mergeCell ref="H157:J157"/>
    <mergeCell ref="N133:O133"/>
    <mergeCell ref="I158:M158"/>
    <mergeCell ref="J172:K172"/>
    <mergeCell ref="J173:K173"/>
    <mergeCell ref="J174:K174"/>
    <mergeCell ref="N170:O170"/>
    <mergeCell ref="D176:E176"/>
    <mergeCell ref="G170:J170"/>
    <mergeCell ref="G176:I176"/>
    <mergeCell ref="J175:K175"/>
    <mergeCell ref="D175:E175"/>
    <mergeCell ref="C170:D170"/>
    <mergeCell ref="P165:T165"/>
    <mergeCell ref="D169:E169"/>
    <mergeCell ref="G171:K171"/>
    <mergeCell ref="N171:O171"/>
    <mergeCell ref="I169:J169"/>
    <mergeCell ref="G169:H169"/>
    <mergeCell ref="P167:Q167"/>
    <mergeCell ref="O169:P169"/>
    <mergeCell ref="J162:N162"/>
    <mergeCell ref="I160:M160"/>
    <mergeCell ref="D158:E158"/>
    <mergeCell ref="L59:M59"/>
    <mergeCell ref="D134:E134"/>
    <mergeCell ref="G134:H134"/>
    <mergeCell ref="D60:E60"/>
    <mergeCell ref="L60:M60"/>
    <mergeCell ref="F60:K60"/>
    <mergeCell ref="D61:E61"/>
    <mergeCell ref="F61:G61"/>
    <mergeCell ref="L129:M129"/>
    <mergeCell ref="I61:J61"/>
    <mergeCell ref="K61:L61"/>
    <mergeCell ref="D62:E62"/>
    <mergeCell ref="J177:K177"/>
    <mergeCell ref="G62:H62"/>
    <mergeCell ref="I128:M128"/>
    <mergeCell ref="C157:G157"/>
    <mergeCell ref="D156:E156"/>
    <mergeCell ref="D177:E177"/>
    <mergeCell ref="C171:E171"/>
    <mergeCell ref="G172:I172"/>
    <mergeCell ref="G173:I173"/>
    <mergeCell ref="G174:I174"/>
    <mergeCell ref="G175:I175"/>
    <mergeCell ref="G177:I177"/>
    <mergeCell ref="D172:E172"/>
    <mergeCell ref="D173:E173"/>
    <mergeCell ref="D174:E174"/>
    <mergeCell ref="J176:K176"/>
    <mergeCell ref="D3:E3"/>
    <mergeCell ref="G3:H3"/>
    <mergeCell ref="I3:J3"/>
    <mergeCell ref="D1:E1"/>
    <mergeCell ref="G1:H1"/>
    <mergeCell ref="I1:J1"/>
    <mergeCell ref="D2:E2"/>
    <mergeCell ref="F2:G2"/>
  </mergeCells>
  <printOptions horizontalCentered="1" verticalCentered="1"/>
  <pageMargins left="0.25" right="0.25" top="0.5" bottom="0.5" header="0.3" footer="0.3"/>
  <pageSetup paperSize="9" scale="52" orientation="portrait" r:id="rId1"/>
  <rowBreaks count="2" manualBreakCount="2">
    <brk id="60" max="16" man="1"/>
    <brk id="131" max="16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FD272-462A-4398-A792-81BB7B6B0D6F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904B4-387B-4B6C-B391-4E9992650EE4}">
  <sheetPr codeName="Sheet5"/>
  <dimension ref="B1:X250"/>
  <sheetViews>
    <sheetView view="pageBreakPreview" zoomScaleNormal="100" zoomScaleSheetLayoutView="100" workbookViewId="0">
      <pane ySplit="1" topLeftCell="A162" activePane="bottomLeft" state="frozen"/>
      <selection pane="bottomLeft" activeCell="I6" sqref="I6"/>
    </sheetView>
  </sheetViews>
  <sheetFormatPr defaultRowHeight="14.4" x14ac:dyDescent="0.3"/>
  <cols>
    <col min="1" max="1" width="1.33203125" customWidth="1"/>
    <col min="2" max="2" width="5.33203125" customWidth="1"/>
    <col min="3" max="3" width="26.109375" customWidth="1"/>
    <col min="4" max="4" width="6.21875" customWidth="1"/>
    <col min="5" max="5" width="7" customWidth="1"/>
    <col min="6" max="6" width="8.5546875" customWidth="1"/>
    <col min="7" max="7" width="6.6640625" customWidth="1"/>
    <col min="8" max="8" width="8.44140625" customWidth="1"/>
    <col min="9" max="9" width="6.77734375" customWidth="1"/>
    <col min="10" max="10" width="1.21875" customWidth="1"/>
    <col min="11" max="11" width="6.44140625" customWidth="1"/>
    <col min="12" max="12" width="7.6640625" customWidth="1"/>
    <col min="13" max="13" width="12.33203125" customWidth="1"/>
    <col min="14" max="14" width="11.77734375" customWidth="1"/>
    <col min="15" max="15" width="10.109375" customWidth="1"/>
    <col min="16" max="16" width="7.109375" customWidth="1"/>
    <col min="17" max="17" width="10.33203125" customWidth="1"/>
    <col min="18" max="18" width="9" customWidth="1"/>
    <col min="19" max="19" width="10.109375" customWidth="1"/>
  </cols>
  <sheetData>
    <row r="1" spans="2:23" ht="39.6" x14ac:dyDescent="0.3">
      <c r="B1" s="234"/>
      <c r="C1" s="235" t="s">
        <v>395</v>
      </c>
      <c r="D1" s="236" t="s">
        <v>111</v>
      </c>
      <c r="E1" s="256" t="s">
        <v>258</v>
      </c>
      <c r="F1" s="237" t="s">
        <v>112</v>
      </c>
      <c r="G1" s="237" t="s">
        <v>113</v>
      </c>
      <c r="H1" s="238" t="s">
        <v>114</v>
      </c>
      <c r="I1" s="239" t="s">
        <v>115</v>
      </c>
      <c r="J1" s="240"/>
      <c r="K1" s="107" t="s">
        <v>116</v>
      </c>
      <c r="L1" s="241" t="s">
        <v>117</v>
      </c>
      <c r="M1" s="242" t="s">
        <v>118</v>
      </c>
      <c r="N1" s="107" t="s">
        <v>119</v>
      </c>
      <c r="O1" s="107" t="s">
        <v>120</v>
      </c>
      <c r="P1" s="107" t="s">
        <v>263</v>
      </c>
      <c r="Q1" s="265" t="s">
        <v>264</v>
      </c>
      <c r="R1" s="265" t="s">
        <v>262</v>
      </c>
      <c r="S1" s="273" t="s">
        <v>265</v>
      </c>
      <c r="T1" s="265"/>
    </row>
    <row r="2" spans="2:23" ht="16.2" thickBot="1" x14ac:dyDescent="0.35">
      <c r="B2" s="243"/>
      <c r="C2" s="340" t="s">
        <v>324</v>
      </c>
      <c r="D2" s="341"/>
      <c r="E2" s="341"/>
      <c r="F2" s="342" t="s">
        <v>248</v>
      </c>
      <c r="G2" s="841">
        <f ca="1">TODAY()</f>
        <v>46291</v>
      </c>
      <c r="H2" s="841"/>
      <c r="I2" s="343"/>
      <c r="J2" s="344"/>
      <c r="K2" s="344"/>
      <c r="L2" s="344"/>
      <c r="M2" s="339" t="s">
        <v>123</v>
      </c>
      <c r="N2" s="431">
        <v>20100</v>
      </c>
      <c r="O2" s="244"/>
      <c r="P2" s="244"/>
      <c r="Q2" s="92"/>
      <c r="R2" s="92"/>
      <c r="S2" s="116"/>
      <c r="T2" s="106"/>
    </row>
    <row r="3" spans="2:23" ht="39.6" x14ac:dyDescent="0.3">
      <c r="B3" s="112"/>
      <c r="C3" s="245" t="s">
        <v>110</v>
      </c>
      <c r="D3" s="246" t="s">
        <v>111</v>
      </c>
      <c r="E3" s="256" t="s">
        <v>258</v>
      </c>
      <c r="F3" s="247" t="s">
        <v>112</v>
      </c>
      <c r="G3" s="247" t="s">
        <v>113</v>
      </c>
      <c r="H3" s="248" t="s">
        <v>114</v>
      </c>
      <c r="I3" s="249" t="s">
        <v>115</v>
      </c>
      <c r="J3" s="255"/>
      <c r="K3" s="252" t="s">
        <v>116</v>
      </c>
      <c r="L3" s="241" t="s">
        <v>117</v>
      </c>
      <c r="M3" s="251" t="s">
        <v>372</v>
      </c>
      <c r="N3" s="430" t="s">
        <v>119</v>
      </c>
      <c r="O3" s="250" t="s">
        <v>261</v>
      </c>
      <c r="P3" s="107" t="s">
        <v>263</v>
      </c>
      <c r="Q3" s="265" t="s">
        <v>264</v>
      </c>
      <c r="R3" s="265" t="s">
        <v>262</v>
      </c>
      <c r="S3" s="266" t="s">
        <v>265</v>
      </c>
      <c r="T3" s="106"/>
    </row>
    <row r="4" spans="2:23" ht="22.8" x14ac:dyDescent="0.65">
      <c r="B4" s="221" t="s">
        <v>124</v>
      </c>
      <c r="C4" s="108" t="s">
        <v>125</v>
      </c>
      <c r="D4" s="293">
        <v>12</v>
      </c>
      <c r="E4" s="294">
        <v>871.17</v>
      </c>
      <c r="F4" s="293">
        <v>893</v>
      </c>
      <c r="G4" s="293"/>
      <c r="H4" s="293">
        <f t="shared" ref="H4:H23" si="0">SUM(F4-G4)</f>
        <v>893</v>
      </c>
      <c r="I4" s="318"/>
      <c r="J4" s="113"/>
      <c r="K4" s="322"/>
      <c r="L4" s="324">
        <f>I4-K4</f>
        <v>0</v>
      </c>
      <c r="M4" s="325">
        <f>L4*H4</f>
        <v>0</v>
      </c>
      <c r="N4" s="222"/>
      <c r="O4" s="223">
        <f>N4*H4</f>
        <v>0</v>
      </c>
      <c r="P4" s="223"/>
      <c r="Q4" s="109">
        <f>I4*H4</f>
        <v>0</v>
      </c>
      <c r="R4" s="109">
        <f>K4*H4</f>
        <v>0</v>
      </c>
      <c r="S4" s="116">
        <f>L4*H4</f>
        <v>0</v>
      </c>
      <c r="T4" s="106"/>
    </row>
    <row r="5" spans="2:23" ht="22.8" x14ac:dyDescent="0.65">
      <c r="B5" s="221" t="s">
        <v>124</v>
      </c>
      <c r="C5" s="108" t="s">
        <v>126</v>
      </c>
      <c r="D5" s="293">
        <v>24</v>
      </c>
      <c r="E5" s="294">
        <v>438.04</v>
      </c>
      <c r="F5" s="293">
        <v>449</v>
      </c>
      <c r="G5" s="293"/>
      <c r="H5" s="293">
        <f t="shared" si="0"/>
        <v>449</v>
      </c>
      <c r="I5" s="318"/>
      <c r="J5" s="113"/>
      <c r="K5" s="322"/>
      <c r="L5" s="324">
        <f t="shared" ref="L5:L72" si="1">I5-K5</f>
        <v>0</v>
      </c>
      <c r="M5" s="325">
        <f t="shared" ref="M5:M72" si="2">L5*H5</f>
        <v>0</v>
      </c>
      <c r="N5" s="112"/>
      <c r="O5" s="223">
        <f t="shared" ref="O5:O72" si="3">N5*H5</f>
        <v>0</v>
      </c>
      <c r="P5" s="223"/>
      <c r="Q5" s="109">
        <f t="shared" ref="Q5:Q72" si="4">I5*H5</f>
        <v>0</v>
      </c>
      <c r="R5" s="109">
        <f t="shared" ref="R5:R72" si="5">K5*H5</f>
        <v>0</v>
      </c>
      <c r="S5" s="116">
        <f t="shared" ref="S5:S72" si="6">L5*H5</f>
        <v>0</v>
      </c>
      <c r="T5" s="106"/>
    </row>
    <row r="6" spans="2:23" ht="22.8" x14ac:dyDescent="0.65">
      <c r="B6" s="221" t="s">
        <v>124</v>
      </c>
      <c r="C6" s="108" t="s">
        <v>127</v>
      </c>
      <c r="D6" s="293">
        <v>60</v>
      </c>
      <c r="E6" s="294">
        <v>184.37</v>
      </c>
      <c r="F6" s="293">
        <v>190</v>
      </c>
      <c r="G6" s="293">
        <v>10</v>
      </c>
      <c r="H6" s="293">
        <f t="shared" si="0"/>
        <v>180</v>
      </c>
      <c r="I6" s="318"/>
      <c r="J6" s="113"/>
      <c r="K6" s="322"/>
      <c r="L6" s="324">
        <f t="shared" si="1"/>
        <v>0</v>
      </c>
      <c r="M6" s="325">
        <f t="shared" si="2"/>
        <v>0</v>
      </c>
      <c r="N6" s="222"/>
      <c r="O6" s="223">
        <f t="shared" si="3"/>
        <v>0</v>
      </c>
      <c r="P6" s="223"/>
      <c r="Q6" s="109">
        <f t="shared" si="4"/>
        <v>0</v>
      </c>
      <c r="R6" s="109">
        <f t="shared" si="5"/>
        <v>0</v>
      </c>
      <c r="S6" s="116">
        <f t="shared" si="6"/>
        <v>0</v>
      </c>
      <c r="T6" s="106"/>
    </row>
    <row r="7" spans="2:23" ht="22.8" x14ac:dyDescent="0.65">
      <c r="B7" s="221" t="s">
        <v>124</v>
      </c>
      <c r="C7" s="108" t="s">
        <v>128</v>
      </c>
      <c r="D7" s="293">
        <v>120</v>
      </c>
      <c r="E7" s="294">
        <v>97.58</v>
      </c>
      <c r="F7" s="293">
        <v>100</v>
      </c>
      <c r="G7" s="293"/>
      <c r="H7" s="293">
        <f t="shared" si="0"/>
        <v>100</v>
      </c>
      <c r="I7" s="318">
        <v>8</v>
      </c>
      <c r="J7" s="113"/>
      <c r="K7" s="322">
        <v>8</v>
      </c>
      <c r="L7" s="324">
        <f t="shared" si="1"/>
        <v>0</v>
      </c>
      <c r="M7" s="325">
        <f t="shared" si="2"/>
        <v>0</v>
      </c>
      <c r="N7" s="112"/>
      <c r="O7" s="223">
        <f t="shared" si="3"/>
        <v>0</v>
      </c>
      <c r="P7" s="223"/>
      <c r="Q7" s="109">
        <f t="shared" si="4"/>
        <v>800</v>
      </c>
      <c r="R7" s="109">
        <f t="shared" si="5"/>
        <v>800</v>
      </c>
      <c r="S7" s="116">
        <f t="shared" si="6"/>
        <v>0</v>
      </c>
      <c r="T7" s="106"/>
    </row>
    <row r="8" spans="2:23" ht="22.8" x14ac:dyDescent="0.65">
      <c r="B8" s="221" t="s">
        <v>124</v>
      </c>
      <c r="C8" s="108" t="s">
        <v>129</v>
      </c>
      <c r="D8" s="293">
        <v>240</v>
      </c>
      <c r="E8" s="294">
        <v>52.21</v>
      </c>
      <c r="F8" s="293">
        <v>53.5</v>
      </c>
      <c r="G8" s="293"/>
      <c r="H8" s="293">
        <f t="shared" si="0"/>
        <v>53.5</v>
      </c>
      <c r="I8" s="318">
        <v>6</v>
      </c>
      <c r="J8" s="113"/>
      <c r="K8" s="322"/>
      <c r="L8" s="324">
        <f t="shared" si="1"/>
        <v>6</v>
      </c>
      <c r="M8" s="325">
        <f t="shared" si="2"/>
        <v>321</v>
      </c>
      <c r="N8" s="112"/>
      <c r="O8" s="223">
        <f t="shared" si="3"/>
        <v>0</v>
      </c>
      <c r="P8" s="223"/>
      <c r="Q8" s="109">
        <f t="shared" si="4"/>
        <v>321</v>
      </c>
      <c r="R8" s="109">
        <f t="shared" si="5"/>
        <v>0</v>
      </c>
      <c r="S8" s="116">
        <f t="shared" si="6"/>
        <v>321</v>
      </c>
      <c r="T8" s="106"/>
    </row>
    <row r="9" spans="2:23" ht="22.8" x14ac:dyDescent="0.65">
      <c r="B9" s="221" t="s">
        <v>124</v>
      </c>
      <c r="C9" s="108" t="s">
        <v>130</v>
      </c>
      <c r="D9" s="293">
        <v>12</v>
      </c>
      <c r="E9" s="294">
        <v>697.5</v>
      </c>
      <c r="F9" s="293">
        <v>715</v>
      </c>
      <c r="G9" s="293"/>
      <c r="H9" s="293">
        <f t="shared" si="0"/>
        <v>715</v>
      </c>
      <c r="I9" s="318"/>
      <c r="J9" s="113"/>
      <c r="K9" s="322"/>
      <c r="L9" s="324">
        <f t="shared" si="1"/>
        <v>0</v>
      </c>
      <c r="M9" s="325">
        <f t="shared" si="2"/>
        <v>0</v>
      </c>
      <c r="N9" s="112"/>
      <c r="O9" s="223">
        <f t="shared" si="3"/>
        <v>0</v>
      </c>
      <c r="P9" s="223"/>
      <c r="Q9" s="109">
        <f t="shared" si="4"/>
        <v>0</v>
      </c>
      <c r="R9" s="109">
        <f t="shared" si="5"/>
        <v>0</v>
      </c>
      <c r="S9" s="116">
        <f t="shared" si="6"/>
        <v>0</v>
      </c>
      <c r="T9" s="254"/>
    </row>
    <row r="10" spans="2:23" ht="22.8" x14ac:dyDescent="0.65">
      <c r="B10" s="221" t="s">
        <v>124</v>
      </c>
      <c r="C10" s="108" t="s">
        <v>131</v>
      </c>
      <c r="D10" s="293">
        <v>24</v>
      </c>
      <c r="E10" s="294">
        <v>351.21</v>
      </c>
      <c r="F10" s="293">
        <v>360</v>
      </c>
      <c r="G10" s="293"/>
      <c r="H10" s="293">
        <f t="shared" si="0"/>
        <v>360</v>
      </c>
      <c r="I10" s="318"/>
      <c r="J10" s="113"/>
      <c r="K10" s="322"/>
      <c r="L10" s="324">
        <f t="shared" si="1"/>
        <v>0</v>
      </c>
      <c r="M10" s="325">
        <f t="shared" si="2"/>
        <v>0</v>
      </c>
      <c r="N10" s="112"/>
      <c r="O10" s="223">
        <f t="shared" si="3"/>
        <v>0</v>
      </c>
      <c r="P10" s="223"/>
      <c r="Q10" s="109">
        <f t="shared" si="4"/>
        <v>0</v>
      </c>
      <c r="R10" s="109">
        <f t="shared" si="5"/>
        <v>0</v>
      </c>
      <c r="S10" s="116">
        <f t="shared" si="6"/>
        <v>0</v>
      </c>
      <c r="T10" s="254"/>
    </row>
    <row r="11" spans="2:23" ht="22.8" x14ac:dyDescent="0.65">
      <c r="B11" s="221" t="s">
        <v>124</v>
      </c>
      <c r="C11" s="111" t="s">
        <v>132</v>
      </c>
      <c r="D11" s="293">
        <v>12</v>
      </c>
      <c r="E11" s="365">
        <v>658</v>
      </c>
      <c r="F11" s="293">
        <v>725</v>
      </c>
      <c r="G11" s="293">
        <v>30</v>
      </c>
      <c r="H11" s="293">
        <f>F11-G11</f>
        <v>695</v>
      </c>
      <c r="I11" s="319"/>
      <c r="J11" s="113"/>
      <c r="K11" s="322"/>
      <c r="L11" s="324">
        <f t="shared" si="1"/>
        <v>0</v>
      </c>
      <c r="M11" s="325">
        <f t="shared" si="2"/>
        <v>0</v>
      </c>
      <c r="N11" s="112"/>
      <c r="O11" s="223">
        <f t="shared" si="3"/>
        <v>0</v>
      </c>
      <c r="P11" s="223"/>
      <c r="Q11" s="109">
        <f t="shared" si="4"/>
        <v>0</v>
      </c>
      <c r="R11" s="109">
        <f t="shared" si="5"/>
        <v>0</v>
      </c>
      <c r="S11" s="116">
        <f t="shared" si="6"/>
        <v>0</v>
      </c>
      <c r="T11" s="254"/>
    </row>
    <row r="12" spans="2:23" ht="22.8" x14ac:dyDescent="0.65">
      <c r="B12" s="221" t="s">
        <v>124</v>
      </c>
      <c r="C12" s="108" t="s">
        <v>133</v>
      </c>
      <c r="D12" s="293">
        <v>24</v>
      </c>
      <c r="E12" s="365">
        <v>336.37</v>
      </c>
      <c r="F12" s="293">
        <v>370</v>
      </c>
      <c r="G12" s="293">
        <v>15</v>
      </c>
      <c r="H12" s="293">
        <f t="shared" ref="H12:H13" si="7">F12-G12</f>
        <v>355</v>
      </c>
      <c r="I12" s="319">
        <v>12</v>
      </c>
      <c r="J12" s="113"/>
      <c r="K12" s="322">
        <v>3</v>
      </c>
      <c r="L12" s="324">
        <f t="shared" si="1"/>
        <v>9</v>
      </c>
      <c r="M12" s="325">
        <f t="shared" si="2"/>
        <v>3195</v>
      </c>
      <c r="N12" s="112"/>
      <c r="O12" s="223">
        <f t="shared" si="3"/>
        <v>0</v>
      </c>
      <c r="P12" s="223"/>
      <c r="Q12" s="109">
        <f t="shared" si="4"/>
        <v>4260</v>
      </c>
      <c r="R12" s="109">
        <f t="shared" si="5"/>
        <v>1065</v>
      </c>
      <c r="S12" s="116">
        <f t="shared" si="6"/>
        <v>3195</v>
      </c>
      <c r="T12" s="253"/>
      <c r="W12" s="219"/>
    </row>
    <row r="13" spans="2:23" ht="22.8" x14ac:dyDescent="0.65">
      <c r="B13" s="221" t="s">
        <v>124</v>
      </c>
      <c r="C13" s="108" t="s">
        <v>134</v>
      </c>
      <c r="D13" s="293">
        <v>60</v>
      </c>
      <c r="E13" s="365">
        <v>139.44999999999999</v>
      </c>
      <c r="F13" s="293">
        <v>147</v>
      </c>
      <c r="G13" s="293">
        <v>4</v>
      </c>
      <c r="H13" s="293">
        <f t="shared" si="7"/>
        <v>143</v>
      </c>
      <c r="I13" s="319">
        <v>10</v>
      </c>
      <c r="J13" s="113"/>
      <c r="K13" s="322"/>
      <c r="L13" s="324">
        <f t="shared" si="1"/>
        <v>10</v>
      </c>
      <c r="M13" s="325">
        <f t="shared" si="2"/>
        <v>1430</v>
      </c>
      <c r="N13" s="112"/>
      <c r="O13" s="223">
        <f t="shared" si="3"/>
        <v>0</v>
      </c>
      <c r="P13" s="223"/>
      <c r="Q13" s="109">
        <f t="shared" si="4"/>
        <v>1430</v>
      </c>
      <c r="R13" s="109">
        <f t="shared" si="5"/>
        <v>0</v>
      </c>
      <c r="S13" s="116">
        <f t="shared" si="6"/>
        <v>1430</v>
      </c>
      <c r="T13" s="218"/>
      <c r="W13">
        <v>20100</v>
      </c>
    </row>
    <row r="14" spans="2:23" ht="22.8" x14ac:dyDescent="0.65">
      <c r="B14" s="221" t="s">
        <v>124</v>
      </c>
      <c r="C14" s="108" t="s">
        <v>135</v>
      </c>
      <c r="D14" s="293">
        <v>480</v>
      </c>
      <c r="E14" s="294">
        <v>7.8</v>
      </c>
      <c r="F14" s="293">
        <v>8.25</v>
      </c>
      <c r="G14" s="293">
        <v>0</v>
      </c>
      <c r="H14" s="293">
        <f>F14-G14</f>
        <v>8.25</v>
      </c>
      <c r="I14" s="319">
        <v>24</v>
      </c>
      <c r="J14" s="113"/>
      <c r="K14" s="322"/>
      <c r="L14" s="324">
        <f t="shared" si="1"/>
        <v>24</v>
      </c>
      <c r="M14" s="325">
        <f t="shared" si="2"/>
        <v>198</v>
      </c>
      <c r="N14" s="112"/>
      <c r="O14" s="223">
        <f t="shared" si="3"/>
        <v>0</v>
      </c>
      <c r="P14" s="223"/>
      <c r="Q14" s="109">
        <f t="shared" si="4"/>
        <v>198</v>
      </c>
      <c r="R14" s="109">
        <f t="shared" si="5"/>
        <v>0</v>
      </c>
      <c r="S14" s="116">
        <f t="shared" si="6"/>
        <v>198</v>
      </c>
      <c r="T14" s="106"/>
    </row>
    <row r="15" spans="2:23" ht="22.8" x14ac:dyDescent="0.65">
      <c r="B15" s="221" t="s">
        <v>124</v>
      </c>
      <c r="C15" s="108" t="s">
        <v>136</v>
      </c>
      <c r="D15" s="293">
        <v>24</v>
      </c>
      <c r="E15" s="294">
        <v>437.79</v>
      </c>
      <c r="F15" s="293">
        <v>459</v>
      </c>
      <c r="G15" s="293">
        <v>10</v>
      </c>
      <c r="H15" s="293">
        <f t="shared" si="0"/>
        <v>449</v>
      </c>
      <c r="I15" s="319"/>
      <c r="J15" s="113"/>
      <c r="K15" s="322"/>
      <c r="L15" s="324">
        <f t="shared" si="1"/>
        <v>0</v>
      </c>
      <c r="M15" s="325">
        <f t="shared" si="2"/>
        <v>0</v>
      </c>
      <c r="N15" s="112"/>
      <c r="O15" s="223">
        <f t="shared" si="3"/>
        <v>0</v>
      </c>
      <c r="P15" s="223"/>
      <c r="Q15" s="109">
        <f t="shared" si="4"/>
        <v>0</v>
      </c>
      <c r="R15" s="109">
        <f t="shared" si="5"/>
        <v>0</v>
      </c>
      <c r="S15" s="116">
        <f t="shared" si="6"/>
        <v>0</v>
      </c>
      <c r="T15" s="106"/>
    </row>
    <row r="16" spans="2:23" ht="22.8" x14ac:dyDescent="0.65">
      <c r="B16" s="221" t="s">
        <v>137</v>
      </c>
      <c r="C16" s="108" t="s">
        <v>138</v>
      </c>
      <c r="D16" s="293">
        <v>24</v>
      </c>
      <c r="E16" s="294">
        <v>365.8</v>
      </c>
      <c r="F16" s="293">
        <v>375</v>
      </c>
      <c r="G16" s="293"/>
      <c r="H16" s="293">
        <f>SUM(F16-G16)</f>
        <v>375</v>
      </c>
      <c r="I16" s="319"/>
      <c r="J16" s="113"/>
      <c r="K16" s="322"/>
      <c r="L16" s="324">
        <f t="shared" si="1"/>
        <v>0</v>
      </c>
      <c r="M16" s="325">
        <f t="shared" si="2"/>
        <v>0</v>
      </c>
      <c r="N16" s="112"/>
      <c r="O16" s="223">
        <f t="shared" si="3"/>
        <v>0</v>
      </c>
      <c r="P16" s="223"/>
      <c r="Q16" s="109">
        <f t="shared" si="4"/>
        <v>0</v>
      </c>
      <c r="R16" s="109">
        <f t="shared" si="5"/>
        <v>0</v>
      </c>
      <c r="S16" s="116">
        <f t="shared" si="6"/>
        <v>0</v>
      </c>
      <c r="T16" s="106"/>
    </row>
    <row r="17" spans="2:20" ht="22.8" x14ac:dyDescent="0.65">
      <c r="B17" s="221" t="s">
        <v>139</v>
      </c>
      <c r="C17" s="108" t="s">
        <v>140</v>
      </c>
      <c r="D17" s="293">
        <v>144</v>
      </c>
      <c r="E17" s="294">
        <v>7.6</v>
      </c>
      <c r="F17" s="295">
        <v>8.8000000000000007</v>
      </c>
      <c r="G17" s="293">
        <v>0.8</v>
      </c>
      <c r="H17" s="295">
        <f t="shared" si="0"/>
        <v>8</v>
      </c>
      <c r="I17" s="319"/>
      <c r="J17" s="113"/>
      <c r="K17" s="322"/>
      <c r="L17" s="324">
        <f t="shared" si="1"/>
        <v>0</v>
      </c>
      <c r="M17" s="325">
        <f t="shared" si="2"/>
        <v>0</v>
      </c>
      <c r="N17" s="112"/>
      <c r="O17" s="223">
        <f t="shared" si="3"/>
        <v>0</v>
      </c>
      <c r="P17" s="223"/>
      <c r="Q17" s="109">
        <f t="shared" si="4"/>
        <v>0</v>
      </c>
      <c r="R17" s="109">
        <f t="shared" si="5"/>
        <v>0</v>
      </c>
      <c r="S17" s="116">
        <f t="shared" si="6"/>
        <v>0</v>
      </c>
      <c r="T17" s="106"/>
    </row>
    <row r="18" spans="2:20" ht="22.8" x14ac:dyDescent="0.65">
      <c r="B18" s="221" t="s">
        <v>139</v>
      </c>
      <c r="C18" s="224" t="s">
        <v>141</v>
      </c>
      <c r="D18" s="296">
        <v>24</v>
      </c>
      <c r="E18" s="297">
        <v>38.08</v>
      </c>
      <c r="F18" s="298">
        <v>40</v>
      </c>
      <c r="G18" s="299"/>
      <c r="H18" s="299">
        <f t="shared" si="0"/>
        <v>40</v>
      </c>
      <c r="I18" s="319"/>
      <c r="J18" s="113"/>
      <c r="K18" s="322"/>
      <c r="L18" s="324">
        <f t="shared" si="1"/>
        <v>0</v>
      </c>
      <c r="M18" s="325">
        <f t="shared" si="2"/>
        <v>0</v>
      </c>
      <c r="N18" s="112"/>
      <c r="O18" s="223">
        <f t="shared" si="3"/>
        <v>0</v>
      </c>
      <c r="P18" s="223"/>
      <c r="Q18" s="109">
        <f t="shared" si="4"/>
        <v>0</v>
      </c>
      <c r="R18" s="109">
        <f t="shared" si="5"/>
        <v>0</v>
      </c>
      <c r="S18" s="116">
        <f t="shared" si="6"/>
        <v>0</v>
      </c>
      <c r="T18" s="106"/>
    </row>
    <row r="19" spans="2:20" ht="22.8" x14ac:dyDescent="0.65">
      <c r="B19" s="221" t="s">
        <v>139</v>
      </c>
      <c r="C19" s="108" t="s">
        <v>142</v>
      </c>
      <c r="D19" s="293">
        <v>12</v>
      </c>
      <c r="E19" s="294">
        <v>125</v>
      </c>
      <c r="F19" s="293">
        <v>146</v>
      </c>
      <c r="G19" s="293">
        <v>14</v>
      </c>
      <c r="H19" s="293">
        <f>SUM(F19-G19)</f>
        <v>132</v>
      </c>
      <c r="I19" s="319">
        <v>6</v>
      </c>
      <c r="J19" s="113"/>
      <c r="K19" s="322"/>
      <c r="L19" s="324">
        <f t="shared" si="1"/>
        <v>6</v>
      </c>
      <c r="M19" s="325">
        <f t="shared" si="2"/>
        <v>792</v>
      </c>
      <c r="N19" s="112"/>
      <c r="O19" s="223">
        <f t="shared" si="3"/>
        <v>0</v>
      </c>
      <c r="P19" s="223"/>
      <c r="Q19" s="109">
        <f t="shared" si="4"/>
        <v>792</v>
      </c>
      <c r="R19" s="109">
        <f t="shared" si="5"/>
        <v>0</v>
      </c>
      <c r="S19" s="116">
        <f t="shared" si="6"/>
        <v>792</v>
      </c>
      <c r="T19" s="106"/>
    </row>
    <row r="20" spans="2:20" ht="22.8" x14ac:dyDescent="0.65">
      <c r="B20" s="221" t="s">
        <v>139</v>
      </c>
      <c r="C20" s="108" t="s">
        <v>143</v>
      </c>
      <c r="D20" s="293">
        <v>8</v>
      </c>
      <c r="E20" s="294">
        <v>194.38</v>
      </c>
      <c r="F20" s="293">
        <v>223</v>
      </c>
      <c r="G20" s="293">
        <v>18</v>
      </c>
      <c r="H20" s="293">
        <f t="shared" si="0"/>
        <v>205</v>
      </c>
      <c r="I20" s="319"/>
      <c r="J20" s="113"/>
      <c r="K20" s="322"/>
      <c r="L20" s="324">
        <f t="shared" si="1"/>
        <v>0</v>
      </c>
      <c r="M20" s="325">
        <f t="shared" si="2"/>
        <v>0</v>
      </c>
      <c r="N20" s="112"/>
      <c r="O20" s="223">
        <f t="shared" si="3"/>
        <v>0</v>
      </c>
      <c r="P20" s="223"/>
      <c r="Q20" s="109">
        <f t="shared" si="4"/>
        <v>0</v>
      </c>
      <c r="R20" s="109">
        <f t="shared" si="5"/>
        <v>0</v>
      </c>
      <c r="S20" s="116">
        <f t="shared" si="6"/>
        <v>0</v>
      </c>
      <c r="T20" s="106"/>
    </row>
    <row r="21" spans="2:20" ht="22.8" x14ac:dyDescent="0.65">
      <c r="B21" s="221" t="s">
        <v>139</v>
      </c>
      <c r="C21" s="108" t="s">
        <v>144</v>
      </c>
      <c r="D21" s="293">
        <v>24</v>
      </c>
      <c r="E21" s="365">
        <v>84.71</v>
      </c>
      <c r="F21" s="293">
        <v>90</v>
      </c>
      <c r="G21" s="295">
        <v>1</v>
      </c>
      <c r="H21" s="293">
        <f t="shared" si="0"/>
        <v>89</v>
      </c>
      <c r="I21" s="319"/>
      <c r="J21" s="113"/>
      <c r="K21" s="322"/>
      <c r="L21" s="324">
        <f t="shared" si="1"/>
        <v>0</v>
      </c>
      <c r="M21" s="325">
        <f t="shared" si="2"/>
        <v>0</v>
      </c>
      <c r="N21" s="112"/>
      <c r="O21" s="223">
        <f t="shared" si="3"/>
        <v>0</v>
      </c>
      <c r="P21" s="223"/>
      <c r="Q21" s="109">
        <f t="shared" si="4"/>
        <v>0</v>
      </c>
      <c r="R21" s="109">
        <f t="shared" si="5"/>
        <v>0</v>
      </c>
      <c r="S21" s="116">
        <f t="shared" si="6"/>
        <v>0</v>
      </c>
      <c r="T21" s="106"/>
    </row>
    <row r="22" spans="2:20" ht="22.8" x14ac:dyDescent="0.65">
      <c r="B22" s="221" t="s">
        <v>139</v>
      </c>
      <c r="C22" s="108" t="s">
        <v>145</v>
      </c>
      <c r="D22" s="293">
        <v>12</v>
      </c>
      <c r="E22" s="294">
        <v>173.33</v>
      </c>
      <c r="F22" s="367">
        <v>182</v>
      </c>
      <c r="G22" s="293">
        <v>15</v>
      </c>
      <c r="H22" s="293">
        <f t="shared" si="0"/>
        <v>167</v>
      </c>
      <c r="I22" s="319"/>
      <c r="J22" s="113"/>
      <c r="K22" s="322"/>
      <c r="L22" s="324">
        <f t="shared" si="1"/>
        <v>0</v>
      </c>
      <c r="M22" s="325">
        <f t="shared" si="2"/>
        <v>0</v>
      </c>
      <c r="N22" s="112"/>
      <c r="O22" s="223">
        <f t="shared" si="3"/>
        <v>0</v>
      </c>
      <c r="P22" s="223"/>
      <c r="Q22" s="109">
        <f t="shared" si="4"/>
        <v>0</v>
      </c>
      <c r="R22" s="109">
        <f t="shared" si="5"/>
        <v>0</v>
      </c>
      <c r="S22" s="116">
        <f t="shared" si="6"/>
        <v>0</v>
      </c>
      <c r="T22" s="106"/>
    </row>
    <row r="23" spans="2:20" ht="22.8" x14ac:dyDescent="0.65">
      <c r="B23" s="221" t="s">
        <v>139</v>
      </c>
      <c r="C23" s="108" t="s">
        <v>146</v>
      </c>
      <c r="D23" s="293">
        <v>12</v>
      </c>
      <c r="E23" s="294">
        <v>200</v>
      </c>
      <c r="F23" s="293">
        <v>210</v>
      </c>
      <c r="G23" s="293"/>
      <c r="H23" s="293">
        <f t="shared" si="0"/>
        <v>210</v>
      </c>
      <c r="I23" s="319"/>
      <c r="J23" s="113"/>
      <c r="K23" s="322"/>
      <c r="L23" s="324">
        <f t="shared" si="1"/>
        <v>0</v>
      </c>
      <c r="M23" s="325">
        <f t="shared" si="2"/>
        <v>0</v>
      </c>
      <c r="N23" s="112"/>
      <c r="O23" s="223">
        <f t="shared" si="3"/>
        <v>0</v>
      </c>
      <c r="P23" s="223"/>
      <c r="Q23" s="109">
        <f t="shared" si="4"/>
        <v>0</v>
      </c>
      <c r="R23" s="109">
        <f t="shared" si="5"/>
        <v>0</v>
      </c>
      <c r="S23" s="116">
        <f t="shared" si="6"/>
        <v>0</v>
      </c>
      <c r="T23" s="106"/>
    </row>
    <row r="24" spans="2:20" ht="22.8" x14ac:dyDescent="0.65">
      <c r="B24" s="221" t="s">
        <v>139</v>
      </c>
      <c r="C24" s="258" t="s">
        <v>147</v>
      </c>
      <c r="D24" s="293">
        <v>24</v>
      </c>
      <c r="E24" s="365">
        <v>18.920000000000002</v>
      </c>
      <c r="F24" s="293">
        <v>22</v>
      </c>
      <c r="G24" s="293">
        <v>2</v>
      </c>
      <c r="H24" s="293">
        <f>SUM(F24-G24)</f>
        <v>20</v>
      </c>
      <c r="I24" s="319"/>
      <c r="J24" s="113"/>
      <c r="K24" s="322"/>
      <c r="L24" s="324">
        <f t="shared" si="1"/>
        <v>0</v>
      </c>
      <c r="M24" s="325">
        <f t="shared" si="2"/>
        <v>0</v>
      </c>
      <c r="N24" s="112"/>
      <c r="O24" s="223">
        <f t="shared" si="3"/>
        <v>0</v>
      </c>
      <c r="P24" s="223"/>
      <c r="Q24" s="109">
        <f t="shared" si="4"/>
        <v>0</v>
      </c>
      <c r="R24" s="109">
        <f t="shared" si="5"/>
        <v>0</v>
      </c>
      <c r="S24" s="116">
        <f t="shared" si="6"/>
        <v>0</v>
      </c>
      <c r="T24" s="106"/>
    </row>
    <row r="25" spans="2:20" ht="22.8" x14ac:dyDescent="0.65">
      <c r="B25" s="221" t="s">
        <v>139</v>
      </c>
      <c r="C25" s="258" t="s">
        <v>148</v>
      </c>
      <c r="D25" s="293">
        <v>24</v>
      </c>
      <c r="E25" s="365">
        <v>37.92</v>
      </c>
      <c r="F25" s="293">
        <v>43</v>
      </c>
      <c r="G25" s="293">
        <v>3</v>
      </c>
      <c r="H25" s="293">
        <f>SUM(F25-G25)</f>
        <v>40</v>
      </c>
      <c r="I25" s="319"/>
      <c r="J25" s="113"/>
      <c r="K25" s="322"/>
      <c r="L25" s="324">
        <f t="shared" si="1"/>
        <v>0</v>
      </c>
      <c r="M25" s="325">
        <f t="shared" si="2"/>
        <v>0</v>
      </c>
      <c r="N25" s="112"/>
      <c r="O25" s="223">
        <f t="shared" si="3"/>
        <v>0</v>
      </c>
      <c r="P25" s="223"/>
      <c r="Q25" s="109">
        <f t="shared" si="4"/>
        <v>0</v>
      </c>
      <c r="R25" s="109">
        <f t="shared" si="5"/>
        <v>0</v>
      </c>
      <c r="S25" s="116">
        <f t="shared" si="6"/>
        <v>0</v>
      </c>
      <c r="T25" s="106"/>
    </row>
    <row r="26" spans="2:20" ht="22.8" x14ac:dyDescent="0.65">
      <c r="B26" s="221" t="s">
        <v>139</v>
      </c>
      <c r="C26" s="258" t="s">
        <v>213</v>
      </c>
      <c r="D26" s="293">
        <v>24</v>
      </c>
      <c r="E26" s="294">
        <v>16.420000000000002</v>
      </c>
      <c r="F26" s="293">
        <v>17.25</v>
      </c>
      <c r="G26" s="293"/>
      <c r="H26" s="293">
        <v>17.25</v>
      </c>
      <c r="I26" s="319">
        <v>48</v>
      </c>
      <c r="J26" s="113"/>
      <c r="K26" s="322"/>
      <c r="L26" s="324">
        <f t="shared" si="1"/>
        <v>48</v>
      </c>
      <c r="M26" s="325">
        <f t="shared" si="2"/>
        <v>828</v>
      </c>
      <c r="N26" s="112"/>
      <c r="O26" s="223">
        <f t="shared" si="3"/>
        <v>0</v>
      </c>
      <c r="P26" s="223"/>
      <c r="Q26" s="109">
        <f t="shared" si="4"/>
        <v>828</v>
      </c>
      <c r="R26" s="109">
        <f t="shared" si="5"/>
        <v>0</v>
      </c>
      <c r="S26" s="116">
        <f t="shared" si="6"/>
        <v>828</v>
      </c>
      <c r="T26" s="106"/>
    </row>
    <row r="27" spans="2:20" ht="22.8" x14ac:dyDescent="0.65">
      <c r="B27" s="221" t="s">
        <v>139</v>
      </c>
      <c r="C27" s="258" t="s">
        <v>149</v>
      </c>
      <c r="D27" s="293">
        <v>24</v>
      </c>
      <c r="E27" s="294">
        <v>47.58</v>
      </c>
      <c r="F27" s="293">
        <v>50</v>
      </c>
      <c r="G27" s="293"/>
      <c r="H27" s="295">
        <f>SUM(F27-G27)</f>
        <v>50</v>
      </c>
      <c r="I27" s="319"/>
      <c r="J27" s="113"/>
      <c r="K27" s="322"/>
      <c r="L27" s="324">
        <f t="shared" si="1"/>
        <v>0</v>
      </c>
      <c r="M27" s="325">
        <f t="shared" si="2"/>
        <v>0</v>
      </c>
      <c r="N27" s="112"/>
      <c r="O27" s="223">
        <f t="shared" si="3"/>
        <v>0</v>
      </c>
      <c r="P27" s="223"/>
      <c r="Q27" s="109">
        <f t="shared" si="4"/>
        <v>0</v>
      </c>
      <c r="R27" s="109">
        <f t="shared" si="5"/>
        <v>0</v>
      </c>
      <c r="S27" s="116">
        <f t="shared" si="6"/>
        <v>0</v>
      </c>
      <c r="T27" s="106"/>
    </row>
    <row r="28" spans="2:20" ht="22.8" x14ac:dyDescent="0.65">
      <c r="B28" s="221" t="s">
        <v>150</v>
      </c>
      <c r="C28" s="259" t="s">
        <v>151</v>
      </c>
      <c r="D28" s="300"/>
      <c r="E28" s="301"/>
      <c r="F28" s="302"/>
      <c r="G28" s="302"/>
      <c r="H28" s="293"/>
      <c r="I28" s="319"/>
      <c r="J28" s="113"/>
      <c r="K28" s="322"/>
      <c r="L28" s="324">
        <f t="shared" si="1"/>
        <v>0</v>
      </c>
      <c r="M28" s="325">
        <f t="shared" si="2"/>
        <v>0</v>
      </c>
      <c r="N28" s="112"/>
      <c r="O28" s="223">
        <f t="shared" si="3"/>
        <v>0</v>
      </c>
      <c r="P28" s="223"/>
      <c r="Q28" s="109">
        <f t="shared" si="4"/>
        <v>0</v>
      </c>
      <c r="R28" s="109">
        <f t="shared" si="5"/>
        <v>0</v>
      </c>
      <c r="S28" s="116">
        <f t="shared" si="6"/>
        <v>0</v>
      </c>
      <c r="T28" s="106"/>
    </row>
    <row r="29" spans="2:20" ht="22.8" x14ac:dyDescent="0.65">
      <c r="B29" s="221" t="s">
        <v>150</v>
      </c>
      <c r="C29" s="111" t="s">
        <v>152</v>
      </c>
      <c r="D29" s="293">
        <v>96</v>
      </c>
      <c r="E29" s="294">
        <v>15.23</v>
      </c>
      <c r="F29" s="295">
        <v>16.13</v>
      </c>
      <c r="G29" s="293">
        <v>0.13</v>
      </c>
      <c r="H29" s="295">
        <f t="shared" ref="H29:H58" si="8">SUM(F29-G29)</f>
        <v>15.999999999999998</v>
      </c>
      <c r="I29" s="319"/>
      <c r="J29" s="113"/>
      <c r="K29" s="322"/>
      <c r="L29" s="324">
        <f t="shared" si="1"/>
        <v>0</v>
      </c>
      <c r="M29" s="325">
        <f t="shared" si="2"/>
        <v>0</v>
      </c>
      <c r="N29" s="112"/>
      <c r="O29" s="223">
        <f t="shared" si="3"/>
        <v>0</v>
      </c>
      <c r="P29" s="223"/>
      <c r="Q29" s="109">
        <f t="shared" si="4"/>
        <v>0</v>
      </c>
      <c r="R29" s="109">
        <f t="shared" si="5"/>
        <v>0</v>
      </c>
      <c r="S29" s="116">
        <f t="shared" si="6"/>
        <v>0</v>
      </c>
      <c r="T29" s="106"/>
    </row>
    <row r="30" spans="2:20" ht="22.8" x14ac:dyDescent="0.65">
      <c r="B30" s="221" t="s">
        <v>150</v>
      </c>
      <c r="C30" s="111" t="s">
        <v>153</v>
      </c>
      <c r="D30" s="293">
        <v>96</v>
      </c>
      <c r="E30" s="294">
        <v>15.23</v>
      </c>
      <c r="F30" s="295">
        <v>16.13</v>
      </c>
      <c r="G30" s="293">
        <v>0.13</v>
      </c>
      <c r="H30" s="295">
        <f t="shared" si="8"/>
        <v>15.999999999999998</v>
      </c>
      <c r="I30" s="319"/>
      <c r="J30" s="113"/>
      <c r="K30" s="322"/>
      <c r="L30" s="324">
        <f t="shared" si="1"/>
        <v>0</v>
      </c>
      <c r="M30" s="325">
        <f t="shared" si="2"/>
        <v>0</v>
      </c>
      <c r="N30" s="112"/>
      <c r="O30" s="223">
        <f t="shared" si="3"/>
        <v>0</v>
      </c>
      <c r="P30" s="223"/>
      <c r="Q30" s="109">
        <f t="shared" si="4"/>
        <v>0</v>
      </c>
      <c r="R30" s="109">
        <f t="shared" si="5"/>
        <v>0</v>
      </c>
      <c r="S30" s="116">
        <f t="shared" si="6"/>
        <v>0</v>
      </c>
      <c r="T30" s="106"/>
    </row>
    <row r="31" spans="2:20" ht="22.8" x14ac:dyDescent="0.65">
      <c r="B31" s="221" t="s">
        <v>150</v>
      </c>
      <c r="C31" s="108" t="s">
        <v>154</v>
      </c>
      <c r="D31" s="293">
        <v>96</v>
      </c>
      <c r="E31" s="294">
        <v>15.23</v>
      </c>
      <c r="F31" s="295">
        <v>16.13</v>
      </c>
      <c r="G31" s="293">
        <v>0.13</v>
      </c>
      <c r="H31" s="295">
        <f t="shared" si="8"/>
        <v>15.999999999999998</v>
      </c>
      <c r="I31" s="319"/>
      <c r="J31" s="113"/>
      <c r="K31" s="322"/>
      <c r="L31" s="324">
        <f t="shared" si="1"/>
        <v>0</v>
      </c>
      <c r="M31" s="325">
        <f t="shared" si="2"/>
        <v>0</v>
      </c>
      <c r="N31" s="112"/>
      <c r="O31" s="223">
        <f t="shared" si="3"/>
        <v>0</v>
      </c>
      <c r="P31" s="223"/>
      <c r="Q31" s="109">
        <f t="shared" si="4"/>
        <v>0</v>
      </c>
      <c r="R31" s="109">
        <f t="shared" si="5"/>
        <v>0</v>
      </c>
      <c r="S31" s="116">
        <f t="shared" si="6"/>
        <v>0</v>
      </c>
      <c r="T31" s="106"/>
    </row>
    <row r="32" spans="2:20" ht="22.8" x14ac:dyDescent="0.65">
      <c r="B32" s="221" t="s">
        <v>150</v>
      </c>
      <c r="C32" s="111" t="s">
        <v>155</v>
      </c>
      <c r="D32" s="303">
        <v>96</v>
      </c>
      <c r="E32" s="294">
        <v>15.23</v>
      </c>
      <c r="F32" s="304">
        <v>16.13</v>
      </c>
      <c r="G32" s="303">
        <v>0.13</v>
      </c>
      <c r="H32" s="304">
        <f t="shared" si="8"/>
        <v>15.999999999999998</v>
      </c>
      <c r="I32" s="319"/>
      <c r="J32" s="113"/>
      <c r="K32" s="322"/>
      <c r="L32" s="324">
        <f t="shared" si="1"/>
        <v>0</v>
      </c>
      <c r="M32" s="325">
        <f t="shared" si="2"/>
        <v>0</v>
      </c>
      <c r="N32" s="112"/>
      <c r="O32" s="223">
        <f t="shared" si="3"/>
        <v>0</v>
      </c>
      <c r="P32" s="223"/>
      <c r="Q32" s="109">
        <f t="shared" si="4"/>
        <v>0</v>
      </c>
      <c r="R32" s="109">
        <f t="shared" si="5"/>
        <v>0</v>
      </c>
      <c r="S32" s="116">
        <f t="shared" si="6"/>
        <v>0</v>
      </c>
      <c r="T32" s="106"/>
    </row>
    <row r="33" spans="2:20" ht="22.8" x14ac:dyDescent="0.65">
      <c r="B33" s="221" t="s">
        <v>150</v>
      </c>
      <c r="C33" s="111" t="s">
        <v>156</v>
      </c>
      <c r="D33" s="303">
        <v>96</v>
      </c>
      <c r="E33" s="294">
        <v>15.23</v>
      </c>
      <c r="F33" s="304">
        <v>16.13</v>
      </c>
      <c r="G33" s="303">
        <v>0.13</v>
      </c>
      <c r="H33" s="304">
        <f t="shared" si="8"/>
        <v>15.999999999999998</v>
      </c>
      <c r="I33" s="319"/>
      <c r="J33" s="113"/>
      <c r="K33" s="322"/>
      <c r="L33" s="324">
        <f t="shared" si="1"/>
        <v>0</v>
      </c>
      <c r="M33" s="325">
        <f t="shared" si="2"/>
        <v>0</v>
      </c>
      <c r="N33" s="112"/>
      <c r="O33" s="223">
        <f t="shared" si="3"/>
        <v>0</v>
      </c>
      <c r="P33" s="223"/>
      <c r="Q33" s="109">
        <f t="shared" si="4"/>
        <v>0</v>
      </c>
      <c r="R33" s="109">
        <f t="shared" si="5"/>
        <v>0</v>
      </c>
      <c r="S33" s="116">
        <f t="shared" si="6"/>
        <v>0</v>
      </c>
      <c r="T33" s="106"/>
    </row>
    <row r="34" spans="2:20" ht="22.8" x14ac:dyDescent="0.65">
      <c r="B34" s="221" t="s">
        <v>150</v>
      </c>
      <c r="C34" s="111" t="s">
        <v>157</v>
      </c>
      <c r="D34" s="303">
        <v>96</v>
      </c>
      <c r="E34" s="365">
        <v>15.23</v>
      </c>
      <c r="F34" s="303">
        <v>16.13</v>
      </c>
      <c r="G34" s="303">
        <v>0.13</v>
      </c>
      <c r="H34" s="304">
        <f t="shared" si="8"/>
        <v>15.999999999999998</v>
      </c>
      <c r="I34" s="319">
        <v>288</v>
      </c>
      <c r="J34" s="113"/>
      <c r="K34" s="322">
        <v>96</v>
      </c>
      <c r="L34" s="324">
        <f t="shared" si="1"/>
        <v>192</v>
      </c>
      <c r="M34" s="325">
        <f t="shared" si="2"/>
        <v>3071.9999999999995</v>
      </c>
      <c r="N34" s="112"/>
      <c r="O34" s="223">
        <f t="shared" si="3"/>
        <v>0</v>
      </c>
      <c r="P34" s="223"/>
      <c r="Q34" s="109">
        <f t="shared" si="4"/>
        <v>4607.9999999999991</v>
      </c>
      <c r="R34" s="109">
        <f t="shared" si="5"/>
        <v>1535.9999999999998</v>
      </c>
      <c r="S34" s="116">
        <f t="shared" si="6"/>
        <v>3071.9999999999995</v>
      </c>
      <c r="T34" s="106"/>
    </row>
    <row r="35" spans="2:20" ht="22.8" x14ac:dyDescent="0.65">
      <c r="B35" s="221" t="s">
        <v>150</v>
      </c>
      <c r="C35" s="111" t="s">
        <v>158</v>
      </c>
      <c r="D35" s="303">
        <v>96</v>
      </c>
      <c r="E35" s="305">
        <v>7.61</v>
      </c>
      <c r="F35" s="303">
        <v>8</v>
      </c>
      <c r="G35" s="303"/>
      <c r="H35" s="306">
        <f t="shared" si="8"/>
        <v>8</v>
      </c>
      <c r="I35" s="319"/>
      <c r="J35" s="113"/>
      <c r="K35" s="322"/>
      <c r="L35" s="324">
        <f t="shared" si="1"/>
        <v>0</v>
      </c>
      <c r="M35" s="325">
        <f t="shared" si="2"/>
        <v>0</v>
      </c>
      <c r="N35" s="112"/>
      <c r="O35" s="223">
        <f t="shared" si="3"/>
        <v>0</v>
      </c>
      <c r="P35" s="223"/>
      <c r="Q35" s="109">
        <f t="shared" si="4"/>
        <v>0</v>
      </c>
      <c r="R35" s="109">
        <f t="shared" si="5"/>
        <v>0</v>
      </c>
      <c r="S35" s="116">
        <f t="shared" si="6"/>
        <v>0</v>
      </c>
      <c r="T35" s="106"/>
    </row>
    <row r="36" spans="2:20" ht="22.8" x14ac:dyDescent="0.65">
      <c r="B36" s="221" t="s">
        <v>150</v>
      </c>
      <c r="C36" s="111" t="s">
        <v>159</v>
      </c>
      <c r="D36" s="303">
        <v>96</v>
      </c>
      <c r="E36" s="305">
        <v>7.61</v>
      </c>
      <c r="F36" s="306">
        <v>8</v>
      </c>
      <c r="G36" s="304"/>
      <c r="H36" s="307">
        <f t="shared" si="8"/>
        <v>8</v>
      </c>
      <c r="I36" s="319">
        <v>24</v>
      </c>
      <c r="J36" s="113"/>
      <c r="K36" s="322"/>
      <c r="L36" s="324">
        <f t="shared" si="1"/>
        <v>24</v>
      </c>
      <c r="M36" s="325">
        <f t="shared" si="2"/>
        <v>192</v>
      </c>
      <c r="N36" s="112"/>
      <c r="O36" s="223">
        <f t="shared" si="3"/>
        <v>0</v>
      </c>
      <c r="P36" s="223"/>
      <c r="Q36" s="109">
        <f t="shared" si="4"/>
        <v>192</v>
      </c>
      <c r="R36" s="109">
        <f t="shared" si="5"/>
        <v>0</v>
      </c>
      <c r="S36" s="116">
        <f t="shared" si="6"/>
        <v>192</v>
      </c>
      <c r="T36" s="106"/>
    </row>
    <row r="37" spans="2:20" ht="22.8" x14ac:dyDescent="0.65">
      <c r="B37" s="221" t="s">
        <v>160</v>
      </c>
      <c r="C37" s="257" t="s">
        <v>161</v>
      </c>
      <c r="D37" s="303">
        <v>8</v>
      </c>
      <c r="E37" s="305">
        <v>3.79</v>
      </c>
      <c r="F37" s="303">
        <v>4.17</v>
      </c>
      <c r="G37" s="303"/>
      <c r="H37" s="306">
        <f t="shared" si="8"/>
        <v>4.17</v>
      </c>
      <c r="I37" s="319"/>
      <c r="J37" s="113"/>
      <c r="K37" s="322"/>
      <c r="L37" s="324">
        <f t="shared" si="1"/>
        <v>0</v>
      </c>
      <c r="M37" s="325">
        <f t="shared" si="2"/>
        <v>0</v>
      </c>
      <c r="N37" s="112"/>
      <c r="O37" s="223">
        <f t="shared" si="3"/>
        <v>0</v>
      </c>
      <c r="P37" s="223"/>
      <c r="Q37" s="109">
        <f t="shared" si="4"/>
        <v>0</v>
      </c>
      <c r="R37" s="109">
        <f t="shared" si="5"/>
        <v>0</v>
      </c>
      <c r="S37" s="116">
        <f t="shared" si="6"/>
        <v>0</v>
      </c>
      <c r="T37" s="106"/>
    </row>
    <row r="38" spans="2:20" ht="22.8" x14ac:dyDescent="0.65">
      <c r="B38" s="221" t="s">
        <v>160</v>
      </c>
      <c r="C38" s="257" t="s">
        <v>162</v>
      </c>
      <c r="D38" s="303">
        <v>72</v>
      </c>
      <c r="E38" s="305">
        <v>3.79</v>
      </c>
      <c r="F38" s="303">
        <v>4.17</v>
      </c>
      <c r="G38" s="303">
        <v>0.17</v>
      </c>
      <c r="H38" s="306">
        <f t="shared" si="8"/>
        <v>4</v>
      </c>
      <c r="I38" s="320"/>
      <c r="J38" s="113"/>
      <c r="K38" s="322"/>
      <c r="L38" s="324">
        <f t="shared" si="1"/>
        <v>0</v>
      </c>
      <c r="M38" s="325">
        <f t="shared" si="2"/>
        <v>0</v>
      </c>
      <c r="N38" s="112"/>
      <c r="O38" s="223">
        <f t="shared" si="3"/>
        <v>0</v>
      </c>
      <c r="P38" s="223"/>
      <c r="Q38" s="109">
        <f t="shared" si="4"/>
        <v>0</v>
      </c>
      <c r="R38" s="109">
        <f t="shared" si="5"/>
        <v>0</v>
      </c>
      <c r="S38" s="116">
        <f t="shared" si="6"/>
        <v>0</v>
      </c>
      <c r="T38" s="106"/>
    </row>
    <row r="39" spans="2:20" ht="22.8" x14ac:dyDescent="0.65">
      <c r="B39" s="221" t="s">
        <v>160</v>
      </c>
      <c r="C39" s="257" t="s">
        <v>163</v>
      </c>
      <c r="D39" s="303">
        <v>72</v>
      </c>
      <c r="E39" s="305">
        <v>3.79</v>
      </c>
      <c r="F39" s="303">
        <v>4.17</v>
      </c>
      <c r="G39" s="303">
        <v>0.17</v>
      </c>
      <c r="H39" s="306">
        <f t="shared" si="8"/>
        <v>4</v>
      </c>
      <c r="I39" s="320"/>
      <c r="J39" s="113"/>
      <c r="K39" s="322"/>
      <c r="L39" s="324">
        <f t="shared" si="1"/>
        <v>0</v>
      </c>
      <c r="M39" s="325">
        <f t="shared" si="2"/>
        <v>0</v>
      </c>
      <c r="N39" s="112"/>
      <c r="O39" s="223">
        <f t="shared" si="3"/>
        <v>0</v>
      </c>
      <c r="P39" s="223"/>
      <c r="Q39" s="109">
        <f t="shared" si="4"/>
        <v>0</v>
      </c>
      <c r="R39" s="109">
        <f t="shared" si="5"/>
        <v>0</v>
      </c>
      <c r="S39" s="116">
        <f t="shared" si="6"/>
        <v>0</v>
      </c>
      <c r="T39" s="106"/>
    </row>
    <row r="40" spans="2:20" ht="22.8" x14ac:dyDescent="0.65">
      <c r="B40" s="221" t="s">
        <v>160</v>
      </c>
      <c r="C40" s="257" t="s">
        <v>164</v>
      </c>
      <c r="D40" s="303">
        <v>20</v>
      </c>
      <c r="E40" s="305">
        <v>7.62</v>
      </c>
      <c r="F40" s="303">
        <v>8</v>
      </c>
      <c r="G40" s="303"/>
      <c r="H40" s="306">
        <f t="shared" si="8"/>
        <v>8</v>
      </c>
      <c r="I40" s="319">
        <v>20</v>
      </c>
      <c r="J40" s="113"/>
      <c r="K40" s="322"/>
      <c r="L40" s="324">
        <f t="shared" si="1"/>
        <v>20</v>
      </c>
      <c r="M40" s="325">
        <f t="shared" si="2"/>
        <v>160</v>
      </c>
      <c r="N40" s="112"/>
      <c r="O40" s="223">
        <f t="shared" si="3"/>
        <v>0</v>
      </c>
      <c r="P40" s="223"/>
      <c r="Q40" s="109">
        <f t="shared" si="4"/>
        <v>160</v>
      </c>
      <c r="R40" s="109">
        <f t="shared" si="5"/>
        <v>0</v>
      </c>
      <c r="S40" s="116">
        <f t="shared" si="6"/>
        <v>160</v>
      </c>
      <c r="T40" s="106"/>
    </row>
    <row r="41" spans="2:20" ht="22.8" x14ac:dyDescent="0.65">
      <c r="B41" s="221" t="s">
        <v>165</v>
      </c>
      <c r="C41" s="111" t="s">
        <v>166</v>
      </c>
      <c r="D41" s="303">
        <v>12</v>
      </c>
      <c r="E41" s="305">
        <v>28</v>
      </c>
      <c r="F41" s="304">
        <v>30.5</v>
      </c>
      <c r="G41" s="306">
        <v>1</v>
      </c>
      <c r="H41" s="304">
        <f t="shared" si="8"/>
        <v>29.5</v>
      </c>
      <c r="I41" s="319"/>
      <c r="J41" s="113"/>
      <c r="K41" s="322"/>
      <c r="L41" s="324">
        <f t="shared" si="1"/>
        <v>0</v>
      </c>
      <c r="M41" s="325">
        <f t="shared" si="2"/>
        <v>0</v>
      </c>
      <c r="N41" s="112"/>
      <c r="O41" s="223">
        <f t="shared" si="3"/>
        <v>0</v>
      </c>
      <c r="P41" s="223"/>
      <c r="Q41" s="109">
        <f t="shared" si="4"/>
        <v>0</v>
      </c>
      <c r="R41" s="109">
        <f t="shared" si="5"/>
        <v>0</v>
      </c>
      <c r="S41" s="116">
        <f t="shared" si="6"/>
        <v>0</v>
      </c>
      <c r="T41" s="106"/>
    </row>
    <row r="42" spans="2:20" ht="22.8" x14ac:dyDescent="0.65">
      <c r="B42" s="221"/>
      <c r="C42" s="374" t="s">
        <v>336</v>
      </c>
      <c r="D42" s="303">
        <v>12</v>
      </c>
      <c r="E42" s="305">
        <v>40.909999999999997</v>
      </c>
      <c r="F42" s="304">
        <v>44</v>
      </c>
      <c r="G42" s="306">
        <v>1</v>
      </c>
      <c r="H42" s="304">
        <f t="shared" si="8"/>
        <v>43</v>
      </c>
      <c r="I42" s="319"/>
      <c r="J42" s="113"/>
      <c r="K42" s="322"/>
      <c r="L42" s="324">
        <f t="shared" si="1"/>
        <v>0</v>
      </c>
      <c r="M42" s="325">
        <f t="shared" si="2"/>
        <v>0</v>
      </c>
      <c r="N42" s="112"/>
      <c r="O42" s="223">
        <f t="shared" si="3"/>
        <v>0</v>
      </c>
      <c r="P42" s="223"/>
      <c r="Q42" s="109">
        <f t="shared" si="4"/>
        <v>0</v>
      </c>
      <c r="R42" s="109">
        <f t="shared" si="5"/>
        <v>0</v>
      </c>
      <c r="S42" s="116">
        <f t="shared" si="6"/>
        <v>0</v>
      </c>
      <c r="T42" s="106"/>
    </row>
    <row r="43" spans="2:20" ht="22.8" x14ac:dyDescent="0.65">
      <c r="B43" s="221" t="s">
        <v>165</v>
      </c>
      <c r="C43" s="108" t="s">
        <v>167</v>
      </c>
      <c r="D43" s="303">
        <v>12</v>
      </c>
      <c r="E43" s="305">
        <v>40.92</v>
      </c>
      <c r="F43" s="303">
        <v>43</v>
      </c>
      <c r="G43" s="303"/>
      <c r="H43" s="306">
        <f t="shared" si="8"/>
        <v>43</v>
      </c>
      <c r="I43" s="319">
        <v>12</v>
      </c>
      <c r="J43" s="113"/>
      <c r="K43" s="322">
        <v>12</v>
      </c>
      <c r="L43" s="324">
        <f t="shared" si="1"/>
        <v>0</v>
      </c>
      <c r="M43" s="325">
        <f t="shared" si="2"/>
        <v>0</v>
      </c>
      <c r="N43" s="112"/>
      <c r="O43" s="223">
        <f t="shared" si="3"/>
        <v>0</v>
      </c>
      <c r="P43" s="223"/>
      <c r="Q43" s="109">
        <f t="shared" si="4"/>
        <v>516</v>
      </c>
      <c r="R43" s="109">
        <f t="shared" si="5"/>
        <v>516</v>
      </c>
      <c r="S43" s="116">
        <f t="shared" si="6"/>
        <v>0</v>
      </c>
      <c r="T43" s="106"/>
    </row>
    <row r="44" spans="2:20" ht="22.8" x14ac:dyDescent="0.65">
      <c r="B44" s="221" t="s">
        <v>165</v>
      </c>
      <c r="C44" s="108" t="s">
        <v>168</v>
      </c>
      <c r="D44" s="303">
        <v>72</v>
      </c>
      <c r="E44" s="368">
        <v>7.61</v>
      </c>
      <c r="F44" s="303">
        <v>8</v>
      </c>
      <c r="G44" s="303"/>
      <c r="H44" s="306">
        <f t="shared" si="8"/>
        <v>8</v>
      </c>
      <c r="I44" s="319">
        <v>288</v>
      </c>
      <c r="J44" s="113"/>
      <c r="K44" s="322">
        <v>84</v>
      </c>
      <c r="L44" s="324">
        <f t="shared" si="1"/>
        <v>204</v>
      </c>
      <c r="M44" s="325">
        <f t="shared" si="2"/>
        <v>1632</v>
      </c>
      <c r="N44" s="112"/>
      <c r="O44" s="223">
        <f t="shared" si="3"/>
        <v>0</v>
      </c>
      <c r="P44" s="223"/>
      <c r="Q44" s="109">
        <f t="shared" si="4"/>
        <v>2304</v>
      </c>
      <c r="R44" s="109">
        <f t="shared" si="5"/>
        <v>672</v>
      </c>
      <c r="S44" s="116">
        <f t="shared" si="6"/>
        <v>1632</v>
      </c>
      <c r="T44" s="106"/>
    </row>
    <row r="45" spans="2:20" ht="22.8" x14ac:dyDescent="0.65">
      <c r="B45" s="221" t="s">
        <v>165</v>
      </c>
      <c r="C45" s="108" t="s">
        <v>169</v>
      </c>
      <c r="D45" s="303">
        <v>24</v>
      </c>
      <c r="E45" s="368">
        <v>12.4</v>
      </c>
      <c r="F45" s="303">
        <v>13</v>
      </c>
      <c r="G45" s="304"/>
      <c r="H45" s="306">
        <f t="shared" si="8"/>
        <v>13</v>
      </c>
      <c r="I45" s="319"/>
      <c r="J45" s="113"/>
      <c r="K45" s="322"/>
      <c r="L45" s="324">
        <f t="shared" si="1"/>
        <v>0</v>
      </c>
      <c r="M45" s="325">
        <f t="shared" si="2"/>
        <v>0</v>
      </c>
      <c r="N45" s="112"/>
      <c r="O45" s="223">
        <f t="shared" si="3"/>
        <v>0</v>
      </c>
      <c r="P45" s="223"/>
      <c r="Q45" s="109">
        <f t="shared" si="4"/>
        <v>0</v>
      </c>
      <c r="R45" s="109">
        <f t="shared" si="5"/>
        <v>0</v>
      </c>
      <c r="S45" s="116">
        <f t="shared" si="6"/>
        <v>0</v>
      </c>
      <c r="T45" s="106"/>
    </row>
    <row r="46" spans="2:20" ht="22.8" x14ac:dyDescent="0.65">
      <c r="B46" s="221" t="s">
        <v>165</v>
      </c>
      <c r="C46" s="108" t="s">
        <v>170</v>
      </c>
      <c r="D46" s="303">
        <v>72</v>
      </c>
      <c r="E46" s="305">
        <v>3.81</v>
      </c>
      <c r="F46" s="303">
        <v>4</v>
      </c>
      <c r="G46" s="304"/>
      <c r="H46" s="306">
        <f t="shared" si="8"/>
        <v>4</v>
      </c>
      <c r="I46" s="319"/>
      <c r="J46" s="113"/>
      <c r="K46" s="322"/>
      <c r="L46" s="324">
        <f t="shared" si="1"/>
        <v>0</v>
      </c>
      <c r="M46" s="325">
        <f t="shared" si="2"/>
        <v>0</v>
      </c>
      <c r="N46" s="112"/>
      <c r="O46" s="223">
        <f t="shared" si="3"/>
        <v>0</v>
      </c>
      <c r="P46" s="223"/>
      <c r="Q46" s="109">
        <f t="shared" si="4"/>
        <v>0</v>
      </c>
      <c r="R46" s="109">
        <f t="shared" si="5"/>
        <v>0</v>
      </c>
      <c r="S46" s="116">
        <f t="shared" si="6"/>
        <v>0</v>
      </c>
      <c r="T46" s="106"/>
    </row>
    <row r="47" spans="2:20" ht="22.8" x14ac:dyDescent="0.65">
      <c r="B47" s="221" t="s">
        <v>165</v>
      </c>
      <c r="C47" s="108" t="s">
        <v>171</v>
      </c>
      <c r="D47" s="303">
        <v>12</v>
      </c>
      <c r="E47" s="305">
        <v>90.42</v>
      </c>
      <c r="F47" s="303">
        <v>95</v>
      </c>
      <c r="G47" s="303"/>
      <c r="H47" s="306">
        <f t="shared" si="8"/>
        <v>95</v>
      </c>
      <c r="I47" s="319"/>
      <c r="J47" s="113"/>
      <c r="K47" s="322"/>
      <c r="L47" s="324">
        <f t="shared" si="1"/>
        <v>0</v>
      </c>
      <c r="M47" s="325">
        <f t="shared" si="2"/>
        <v>0</v>
      </c>
      <c r="N47" s="112"/>
      <c r="O47" s="223">
        <f t="shared" si="3"/>
        <v>0</v>
      </c>
      <c r="P47" s="223"/>
      <c r="Q47" s="109">
        <f t="shared" si="4"/>
        <v>0</v>
      </c>
      <c r="R47" s="109">
        <f t="shared" si="5"/>
        <v>0</v>
      </c>
      <c r="S47" s="116">
        <f t="shared" si="6"/>
        <v>0</v>
      </c>
      <c r="T47" s="106"/>
    </row>
    <row r="48" spans="2:20" ht="22.8" x14ac:dyDescent="0.65">
      <c r="B48" s="221" t="s">
        <v>165</v>
      </c>
      <c r="C48" s="108" t="s">
        <v>172</v>
      </c>
      <c r="D48" s="303">
        <v>12</v>
      </c>
      <c r="E48" s="305">
        <v>55.17</v>
      </c>
      <c r="F48" s="303">
        <v>58</v>
      </c>
      <c r="G48" s="303"/>
      <c r="H48" s="306">
        <f t="shared" si="8"/>
        <v>58</v>
      </c>
      <c r="I48" s="319">
        <v>12</v>
      </c>
      <c r="J48" s="113"/>
      <c r="K48" s="322"/>
      <c r="L48" s="324">
        <f t="shared" si="1"/>
        <v>12</v>
      </c>
      <c r="M48" s="325">
        <f t="shared" si="2"/>
        <v>696</v>
      </c>
      <c r="N48" s="112"/>
      <c r="O48" s="223">
        <f t="shared" si="3"/>
        <v>0</v>
      </c>
      <c r="P48" s="223"/>
      <c r="Q48" s="109">
        <f t="shared" si="4"/>
        <v>696</v>
      </c>
      <c r="R48" s="109">
        <f t="shared" si="5"/>
        <v>0</v>
      </c>
      <c r="S48" s="116">
        <f t="shared" si="6"/>
        <v>696</v>
      </c>
      <c r="T48" s="106"/>
    </row>
    <row r="49" spans="2:20" ht="22.8" x14ac:dyDescent="0.65">
      <c r="B49" s="221" t="s">
        <v>165</v>
      </c>
      <c r="C49" s="108" t="s">
        <v>173</v>
      </c>
      <c r="D49" s="303">
        <v>24</v>
      </c>
      <c r="E49" s="305">
        <v>16.670000000000002</v>
      </c>
      <c r="F49" s="303">
        <v>17</v>
      </c>
      <c r="G49" s="303"/>
      <c r="H49" s="306">
        <f t="shared" si="8"/>
        <v>17</v>
      </c>
      <c r="I49" s="319"/>
      <c r="J49" s="113"/>
      <c r="K49" s="322"/>
      <c r="L49" s="324">
        <f t="shared" si="1"/>
        <v>0</v>
      </c>
      <c r="M49" s="325">
        <f t="shared" si="2"/>
        <v>0</v>
      </c>
      <c r="N49" s="112"/>
      <c r="O49" s="223">
        <f t="shared" si="3"/>
        <v>0</v>
      </c>
      <c r="P49" s="223"/>
      <c r="Q49" s="109">
        <f t="shared" si="4"/>
        <v>0</v>
      </c>
      <c r="R49" s="109">
        <f t="shared" si="5"/>
        <v>0</v>
      </c>
      <c r="S49" s="116">
        <f t="shared" si="6"/>
        <v>0</v>
      </c>
      <c r="T49" s="106"/>
    </row>
    <row r="50" spans="2:20" ht="22.8" x14ac:dyDescent="0.65">
      <c r="B50" s="221" t="s">
        <v>165</v>
      </c>
      <c r="C50" s="108" t="s">
        <v>174</v>
      </c>
      <c r="D50" s="308">
        <v>12</v>
      </c>
      <c r="E50" s="309">
        <v>55.17</v>
      </c>
      <c r="F50" s="308">
        <v>58</v>
      </c>
      <c r="G50" s="308"/>
      <c r="H50" s="310">
        <f t="shared" si="8"/>
        <v>58</v>
      </c>
      <c r="I50" s="319">
        <v>6</v>
      </c>
      <c r="J50" s="113"/>
      <c r="K50" s="322"/>
      <c r="L50" s="324">
        <f t="shared" si="1"/>
        <v>6</v>
      </c>
      <c r="M50" s="325">
        <f t="shared" si="2"/>
        <v>348</v>
      </c>
      <c r="N50" s="112"/>
      <c r="O50" s="223">
        <f t="shared" si="3"/>
        <v>0</v>
      </c>
      <c r="P50" s="223"/>
      <c r="Q50" s="109">
        <f t="shared" si="4"/>
        <v>348</v>
      </c>
      <c r="R50" s="109">
        <f t="shared" si="5"/>
        <v>0</v>
      </c>
      <c r="S50" s="116">
        <f t="shared" si="6"/>
        <v>348</v>
      </c>
      <c r="T50" s="106"/>
    </row>
    <row r="51" spans="2:20" ht="22.8" x14ac:dyDescent="0.65">
      <c r="B51" s="221" t="s">
        <v>165</v>
      </c>
      <c r="C51" s="108" t="s">
        <v>175</v>
      </c>
      <c r="D51" s="308">
        <v>12</v>
      </c>
      <c r="E51" s="309">
        <v>87.58</v>
      </c>
      <c r="F51" s="308">
        <v>92</v>
      </c>
      <c r="G51" s="308"/>
      <c r="H51" s="310">
        <f t="shared" si="8"/>
        <v>92</v>
      </c>
      <c r="I51" s="319"/>
      <c r="J51" s="113"/>
      <c r="K51" s="322"/>
      <c r="L51" s="324">
        <f t="shared" si="1"/>
        <v>0</v>
      </c>
      <c r="M51" s="325">
        <f t="shared" si="2"/>
        <v>0</v>
      </c>
      <c r="N51" s="225"/>
      <c r="O51" s="223">
        <f t="shared" si="3"/>
        <v>0</v>
      </c>
      <c r="P51" s="223"/>
      <c r="Q51" s="109">
        <f t="shared" si="4"/>
        <v>0</v>
      </c>
      <c r="R51" s="109">
        <f t="shared" si="5"/>
        <v>0</v>
      </c>
      <c r="S51" s="116">
        <f t="shared" si="6"/>
        <v>0</v>
      </c>
      <c r="T51" s="106"/>
    </row>
    <row r="52" spans="2:20" ht="22.8" x14ac:dyDescent="0.65">
      <c r="B52" s="221" t="s">
        <v>165</v>
      </c>
      <c r="C52" s="108" t="s">
        <v>176</v>
      </c>
      <c r="D52" s="308">
        <v>12</v>
      </c>
      <c r="E52" s="309">
        <v>87.58</v>
      </c>
      <c r="F52" s="308">
        <v>83</v>
      </c>
      <c r="G52" s="308"/>
      <c r="H52" s="310">
        <v>92</v>
      </c>
      <c r="I52" s="319"/>
      <c r="J52" s="113"/>
      <c r="K52" s="322"/>
      <c r="L52" s="324">
        <f t="shared" si="1"/>
        <v>0</v>
      </c>
      <c r="M52" s="325">
        <f t="shared" si="2"/>
        <v>0</v>
      </c>
      <c r="N52" s="112"/>
      <c r="O52" s="223">
        <f t="shared" si="3"/>
        <v>0</v>
      </c>
      <c r="P52" s="223"/>
      <c r="Q52" s="109">
        <f t="shared" si="4"/>
        <v>0</v>
      </c>
      <c r="R52" s="109">
        <f t="shared" si="5"/>
        <v>0</v>
      </c>
      <c r="S52" s="116">
        <f t="shared" si="6"/>
        <v>0</v>
      </c>
      <c r="T52" s="106"/>
    </row>
    <row r="53" spans="2:20" ht="28.8" customHeight="1" x14ac:dyDescent="0.65">
      <c r="B53" s="221" t="s">
        <v>165</v>
      </c>
      <c r="C53" s="108" t="s">
        <v>177</v>
      </c>
      <c r="D53" s="308">
        <v>12</v>
      </c>
      <c r="E53" s="309">
        <v>109.25</v>
      </c>
      <c r="F53" s="308">
        <v>120</v>
      </c>
      <c r="G53" s="308">
        <v>5</v>
      </c>
      <c r="H53" s="310">
        <f t="shared" si="8"/>
        <v>115</v>
      </c>
      <c r="I53" s="319"/>
      <c r="J53" s="113"/>
      <c r="K53" s="322"/>
      <c r="L53" s="324">
        <f t="shared" si="1"/>
        <v>0</v>
      </c>
      <c r="M53" s="325">
        <f t="shared" si="2"/>
        <v>0</v>
      </c>
      <c r="N53" s="112"/>
      <c r="O53" s="223">
        <f t="shared" si="3"/>
        <v>0</v>
      </c>
      <c r="P53" s="223"/>
      <c r="Q53" s="109">
        <f t="shared" si="4"/>
        <v>0</v>
      </c>
      <c r="R53" s="109">
        <f t="shared" si="5"/>
        <v>0</v>
      </c>
      <c r="S53" s="116">
        <f t="shared" si="6"/>
        <v>0</v>
      </c>
      <c r="T53" s="106"/>
    </row>
    <row r="54" spans="2:20" ht="29.4" customHeight="1" x14ac:dyDescent="0.65">
      <c r="B54" s="221" t="s">
        <v>165</v>
      </c>
      <c r="C54" s="108" t="s">
        <v>178</v>
      </c>
      <c r="D54" s="308">
        <v>24</v>
      </c>
      <c r="E54" s="309">
        <v>49.42</v>
      </c>
      <c r="F54" s="308">
        <v>54</v>
      </c>
      <c r="G54" s="308">
        <v>2</v>
      </c>
      <c r="H54" s="310">
        <f t="shared" si="8"/>
        <v>52</v>
      </c>
      <c r="I54" s="319"/>
      <c r="J54" s="113"/>
      <c r="K54" s="322"/>
      <c r="L54" s="324">
        <f t="shared" si="1"/>
        <v>0</v>
      </c>
      <c r="M54" s="325">
        <f t="shared" si="2"/>
        <v>0</v>
      </c>
      <c r="N54" s="112"/>
      <c r="O54" s="223">
        <f t="shared" si="3"/>
        <v>0</v>
      </c>
      <c r="P54" s="223"/>
      <c r="Q54" s="109">
        <f t="shared" si="4"/>
        <v>0</v>
      </c>
      <c r="R54" s="109">
        <f t="shared" si="5"/>
        <v>0</v>
      </c>
      <c r="S54" s="116">
        <f t="shared" si="6"/>
        <v>0</v>
      </c>
      <c r="T54" s="106"/>
    </row>
    <row r="55" spans="2:20" ht="39" customHeight="1" x14ac:dyDescent="0.65">
      <c r="B55" s="221" t="s">
        <v>165</v>
      </c>
      <c r="C55" s="226" t="s">
        <v>179</v>
      </c>
      <c r="D55" s="308">
        <v>12</v>
      </c>
      <c r="E55" s="309">
        <v>113.75</v>
      </c>
      <c r="F55" s="308">
        <v>130</v>
      </c>
      <c r="G55" s="308">
        <v>10</v>
      </c>
      <c r="H55" s="310">
        <f t="shared" si="8"/>
        <v>120</v>
      </c>
      <c r="I55" s="319"/>
      <c r="J55" s="113"/>
      <c r="K55" s="322"/>
      <c r="L55" s="324">
        <f t="shared" si="1"/>
        <v>0</v>
      </c>
      <c r="M55" s="325">
        <f t="shared" si="2"/>
        <v>0</v>
      </c>
      <c r="N55" s="227"/>
      <c r="O55" s="223">
        <f t="shared" si="3"/>
        <v>0</v>
      </c>
      <c r="P55" s="223"/>
      <c r="Q55" s="109">
        <f t="shared" si="4"/>
        <v>0</v>
      </c>
      <c r="R55" s="109">
        <f t="shared" si="5"/>
        <v>0</v>
      </c>
      <c r="S55" s="116">
        <f t="shared" si="6"/>
        <v>0</v>
      </c>
      <c r="T55" s="106"/>
    </row>
    <row r="56" spans="2:20" ht="19.8" x14ac:dyDescent="0.3">
      <c r="B56" s="221" t="s">
        <v>165</v>
      </c>
      <c r="C56" s="108" t="s">
        <v>180</v>
      </c>
      <c r="D56" s="308">
        <v>12</v>
      </c>
      <c r="E56" s="309">
        <v>59</v>
      </c>
      <c r="F56" s="308">
        <v>62</v>
      </c>
      <c r="G56" s="308"/>
      <c r="H56" s="310">
        <f t="shared" si="8"/>
        <v>62</v>
      </c>
      <c r="I56" s="321"/>
      <c r="J56" s="113"/>
      <c r="K56" s="323"/>
      <c r="L56" s="324">
        <f t="shared" si="1"/>
        <v>0</v>
      </c>
      <c r="M56" s="325">
        <f t="shared" si="2"/>
        <v>0</v>
      </c>
      <c r="N56" s="112"/>
      <c r="O56" s="223">
        <f t="shared" si="3"/>
        <v>0</v>
      </c>
      <c r="P56" s="223"/>
      <c r="Q56" s="109">
        <f t="shared" si="4"/>
        <v>0</v>
      </c>
      <c r="R56" s="109">
        <f t="shared" si="5"/>
        <v>0</v>
      </c>
      <c r="S56" s="116">
        <f t="shared" si="6"/>
        <v>0</v>
      </c>
      <c r="T56" s="106"/>
    </row>
    <row r="57" spans="2:20" ht="22.8" x14ac:dyDescent="0.65">
      <c r="B57" s="221" t="s">
        <v>165</v>
      </c>
      <c r="C57" s="108" t="s">
        <v>181</v>
      </c>
      <c r="D57" s="308">
        <v>6</v>
      </c>
      <c r="E57" s="309">
        <v>114</v>
      </c>
      <c r="F57" s="308">
        <v>126</v>
      </c>
      <c r="G57" s="308">
        <v>6</v>
      </c>
      <c r="H57" s="310">
        <f t="shared" si="8"/>
        <v>120</v>
      </c>
      <c r="I57" s="319"/>
      <c r="J57" s="113"/>
      <c r="K57" s="323"/>
      <c r="L57" s="324">
        <f t="shared" si="1"/>
        <v>0</v>
      </c>
      <c r="M57" s="325">
        <f t="shared" si="2"/>
        <v>0</v>
      </c>
      <c r="N57" s="112"/>
      <c r="O57" s="223">
        <f t="shared" si="3"/>
        <v>0</v>
      </c>
      <c r="P57" s="223"/>
      <c r="Q57" s="109">
        <f t="shared" si="4"/>
        <v>0</v>
      </c>
      <c r="R57" s="109"/>
      <c r="S57" s="116">
        <f t="shared" si="6"/>
        <v>0</v>
      </c>
      <c r="T57" s="106"/>
    </row>
    <row r="58" spans="2:20" ht="22.8" x14ac:dyDescent="0.65">
      <c r="B58" s="221" t="s">
        <v>165</v>
      </c>
      <c r="C58" s="108" t="s">
        <v>182</v>
      </c>
      <c r="D58" s="308">
        <v>6</v>
      </c>
      <c r="E58" s="309">
        <v>45.5</v>
      </c>
      <c r="F58" s="308">
        <v>50</v>
      </c>
      <c r="G58" s="308">
        <v>2</v>
      </c>
      <c r="H58" s="310">
        <f t="shared" si="8"/>
        <v>48</v>
      </c>
      <c r="I58" s="319">
        <v>6</v>
      </c>
      <c r="J58" s="113"/>
      <c r="K58" s="323"/>
      <c r="L58" s="324">
        <f t="shared" si="1"/>
        <v>6</v>
      </c>
      <c r="M58" s="325">
        <f t="shared" si="2"/>
        <v>288</v>
      </c>
      <c r="N58" s="229"/>
      <c r="O58" s="223">
        <f t="shared" si="3"/>
        <v>0</v>
      </c>
      <c r="P58" s="223"/>
      <c r="Q58" s="109">
        <f t="shared" si="4"/>
        <v>288</v>
      </c>
      <c r="R58" s="109">
        <f t="shared" si="5"/>
        <v>0</v>
      </c>
      <c r="S58" s="116">
        <f t="shared" si="6"/>
        <v>288</v>
      </c>
      <c r="T58" s="106"/>
    </row>
    <row r="59" spans="2:20" ht="22.8" x14ac:dyDescent="0.65">
      <c r="B59" s="221" t="s">
        <v>183</v>
      </c>
      <c r="C59" s="230" t="s">
        <v>184</v>
      </c>
      <c r="D59" s="308"/>
      <c r="E59" s="309"/>
      <c r="F59" s="311"/>
      <c r="G59" s="311"/>
      <c r="H59" s="308"/>
      <c r="I59" s="319"/>
      <c r="J59" s="113"/>
      <c r="K59" s="323"/>
      <c r="L59" s="324">
        <f t="shared" si="1"/>
        <v>0</v>
      </c>
      <c r="M59" s="325">
        <f t="shared" si="2"/>
        <v>0</v>
      </c>
      <c r="N59" s="231"/>
      <c r="O59" s="223">
        <f t="shared" si="3"/>
        <v>0</v>
      </c>
      <c r="P59" s="223"/>
      <c r="Q59" s="109">
        <f t="shared" si="4"/>
        <v>0</v>
      </c>
      <c r="R59" s="109">
        <f t="shared" si="5"/>
        <v>0</v>
      </c>
      <c r="S59" s="116">
        <f t="shared" si="6"/>
        <v>0</v>
      </c>
      <c r="T59" s="106"/>
    </row>
    <row r="60" spans="2:20" ht="22.8" x14ac:dyDescent="0.65">
      <c r="B60" s="221" t="s">
        <v>183</v>
      </c>
      <c r="C60" s="226" t="s">
        <v>185</v>
      </c>
      <c r="D60" s="312"/>
      <c r="E60" s="313"/>
      <c r="F60" s="312"/>
      <c r="G60" s="312"/>
      <c r="H60" s="312"/>
      <c r="I60" s="319"/>
      <c r="J60" s="113"/>
      <c r="K60" s="323"/>
      <c r="L60" s="324">
        <f t="shared" si="1"/>
        <v>0</v>
      </c>
      <c r="M60" s="325">
        <f t="shared" si="2"/>
        <v>0</v>
      </c>
      <c r="N60" s="231"/>
      <c r="O60" s="223">
        <f t="shared" si="3"/>
        <v>0</v>
      </c>
      <c r="P60" s="223"/>
      <c r="Q60" s="109">
        <f t="shared" si="4"/>
        <v>0</v>
      </c>
      <c r="R60" s="109">
        <f t="shared" si="5"/>
        <v>0</v>
      </c>
      <c r="S60" s="116">
        <f t="shared" si="6"/>
        <v>0</v>
      </c>
      <c r="T60" s="106"/>
    </row>
    <row r="61" spans="2:20" ht="22.8" x14ac:dyDescent="0.65">
      <c r="B61" s="221" t="s">
        <v>183</v>
      </c>
      <c r="C61" s="108" t="s">
        <v>186</v>
      </c>
      <c r="D61" s="308">
        <v>48</v>
      </c>
      <c r="E61" s="309">
        <v>56.92</v>
      </c>
      <c r="F61" s="310">
        <v>65</v>
      </c>
      <c r="G61" s="308">
        <v>4.74</v>
      </c>
      <c r="H61" s="308">
        <f t="shared" ref="H61:H63" si="9">SUM(F61-G61)</f>
        <v>60.26</v>
      </c>
      <c r="I61" s="319"/>
      <c r="J61" s="113"/>
      <c r="K61" s="323"/>
      <c r="L61" s="324">
        <f t="shared" si="1"/>
        <v>0</v>
      </c>
      <c r="M61" s="325">
        <f t="shared" si="2"/>
        <v>0</v>
      </c>
      <c r="N61" s="228"/>
      <c r="O61" s="223">
        <f t="shared" si="3"/>
        <v>0</v>
      </c>
      <c r="P61" s="223"/>
      <c r="Q61" s="109">
        <f t="shared" si="4"/>
        <v>0</v>
      </c>
      <c r="R61" s="109">
        <f t="shared" si="5"/>
        <v>0</v>
      </c>
      <c r="S61" s="116">
        <f t="shared" si="6"/>
        <v>0</v>
      </c>
      <c r="T61" s="106"/>
    </row>
    <row r="62" spans="2:20" ht="22.8" x14ac:dyDescent="0.65">
      <c r="B62" s="221" t="s">
        <v>183</v>
      </c>
      <c r="C62" s="108" t="s">
        <v>187</v>
      </c>
      <c r="D62" s="308">
        <v>24</v>
      </c>
      <c r="E62" s="309">
        <v>106.81</v>
      </c>
      <c r="F62" s="308">
        <v>122</v>
      </c>
      <c r="G62" s="314">
        <v>8.9</v>
      </c>
      <c r="H62" s="308">
        <f t="shared" si="9"/>
        <v>113.1</v>
      </c>
      <c r="I62" s="319"/>
      <c r="J62" s="113"/>
      <c r="K62" s="323"/>
      <c r="L62" s="324">
        <f t="shared" si="1"/>
        <v>0</v>
      </c>
      <c r="M62" s="325">
        <f t="shared" si="2"/>
        <v>0</v>
      </c>
      <c r="N62" s="228"/>
      <c r="O62" s="223">
        <f t="shared" si="3"/>
        <v>0</v>
      </c>
      <c r="P62" s="223"/>
      <c r="Q62" s="109">
        <f t="shared" si="4"/>
        <v>0</v>
      </c>
      <c r="R62" s="109">
        <f t="shared" si="5"/>
        <v>0</v>
      </c>
      <c r="S62" s="116">
        <f t="shared" si="6"/>
        <v>0</v>
      </c>
      <c r="T62" s="106"/>
    </row>
    <row r="63" spans="2:20" ht="22.8" x14ac:dyDescent="0.65">
      <c r="B63" s="221"/>
      <c r="C63" s="329" t="s">
        <v>312</v>
      </c>
      <c r="D63" s="329">
        <v>24</v>
      </c>
      <c r="E63" s="329"/>
      <c r="F63" s="329">
        <v>297</v>
      </c>
      <c r="G63" s="329">
        <v>21.76</v>
      </c>
      <c r="H63" s="329">
        <f t="shared" si="9"/>
        <v>275.24</v>
      </c>
      <c r="I63" s="319"/>
      <c r="J63" s="113"/>
      <c r="K63" s="323"/>
      <c r="L63" s="324">
        <f t="shared" si="1"/>
        <v>0</v>
      </c>
      <c r="M63" s="325">
        <f t="shared" si="2"/>
        <v>0</v>
      </c>
      <c r="N63" s="228"/>
      <c r="O63" s="223">
        <f t="shared" si="3"/>
        <v>0</v>
      </c>
      <c r="P63" s="223"/>
      <c r="Q63" s="109"/>
      <c r="R63" s="109"/>
      <c r="S63" s="116"/>
      <c r="T63" s="106"/>
    </row>
    <row r="64" spans="2:20" ht="22.8" x14ac:dyDescent="0.65">
      <c r="B64" s="221" t="s">
        <v>183</v>
      </c>
      <c r="C64" s="226" t="s">
        <v>188</v>
      </c>
      <c r="D64" s="312"/>
      <c r="E64" s="313"/>
      <c r="F64" s="312"/>
      <c r="G64" s="312"/>
      <c r="H64" s="312"/>
      <c r="I64" s="319"/>
      <c r="J64" s="113"/>
      <c r="K64" s="323"/>
      <c r="L64" s="324">
        <f t="shared" si="1"/>
        <v>0</v>
      </c>
      <c r="M64" s="325">
        <f t="shared" si="2"/>
        <v>0</v>
      </c>
      <c r="N64" s="228"/>
      <c r="O64" s="223">
        <f t="shared" si="3"/>
        <v>0</v>
      </c>
      <c r="P64" s="223"/>
      <c r="Q64" s="109">
        <f t="shared" si="4"/>
        <v>0</v>
      </c>
      <c r="R64" s="109">
        <f t="shared" si="5"/>
        <v>0</v>
      </c>
      <c r="S64" s="116">
        <f t="shared" si="6"/>
        <v>0</v>
      </c>
      <c r="T64" s="106"/>
    </row>
    <row r="65" spans="2:20" ht="22.8" x14ac:dyDescent="0.65">
      <c r="B65" s="221" t="s">
        <v>183</v>
      </c>
      <c r="C65" s="108" t="s">
        <v>186</v>
      </c>
      <c r="D65" s="308">
        <v>48</v>
      </c>
      <c r="E65" s="309">
        <v>55.71</v>
      </c>
      <c r="F65" s="308">
        <v>58.49</v>
      </c>
      <c r="G65" s="308">
        <v>4.6399999999999997</v>
      </c>
      <c r="H65" s="308">
        <f t="shared" ref="H65:H78" si="10">SUM(F65-G65)</f>
        <v>53.85</v>
      </c>
      <c r="I65" s="319"/>
      <c r="J65" s="113"/>
      <c r="K65" s="323"/>
      <c r="L65" s="324">
        <f t="shared" si="1"/>
        <v>0</v>
      </c>
      <c r="M65" s="325">
        <f t="shared" si="2"/>
        <v>0</v>
      </c>
      <c r="N65" s="228"/>
      <c r="O65" s="223">
        <f t="shared" si="3"/>
        <v>0</v>
      </c>
      <c r="P65" s="223"/>
      <c r="Q65" s="109">
        <f t="shared" si="4"/>
        <v>0</v>
      </c>
      <c r="R65" s="109">
        <f t="shared" si="5"/>
        <v>0</v>
      </c>
      <c r="S65" s="116">
        <f t="shared" si="6"/>
        <v>0</v>
      </c>
      <c r="T65" s="106"/>
    </row>
    <row r="66" spans="2:20" ht="22.8" x14ac:dyDescent="0.65">
      <c r="B66" s="221"/>
      <c r="C66" s="329" t="s">
        <v>187</v>
      </c>
      <c r="D66" s="331">
        <v>24</v>
      </c>
      <c r="E66" s="331"/>
      <c r="F66" s="331">
        <v>80.290000000000006</v>
      </c>
      <c r="G66" s="331">
        <v>9.18</v>
      </c>
      <c r="H66" s="331">
        <f t="shared" si="10"/>
        <v>71.110000000000014</v>
      </c>
      <c r="I66" s="319"/>
      <c r="J66" s="113"/>
      <c r="K66" s="323"/>
      <c r="L66" s="324">
        <f t="shared" si="1"/>
        <v>0</v>
      </c>
      <c r="M66" s="325">
        <f t="shared" si="2"/>
        <v>0</v>
      </c>
      <c r="N66" s="228"/>
      <c r="O66" s="223">
        <f t="shared" si="3"/>
        <v>0</v>
      </c>
      <c r="P66" s="223"/>
      <c r="Q66" s="109"/>
      <c r="R66" s="109"/>
      <c r="S66" s="116"/>
      <c r="T66" s="106"/>
    </row>
    <row r="67" spans="2:20" ht="22.8" x14ac:dyDescent="0.65">
      <c r="B67" s="221"/>
      <c r="C67" s="329" t="s">
        <v>312</v>
      </c>
      <c r="D67" s="331">
        <v>24</v>
      </c>
      <c r="E67" s="331"/>
      <c r="F67" s="331">
        <v>189.21</v>
      </c>
      <c r="G67" s="331">
        <v>20.82</v>
      </c>
      <c r="H67" s="331">
        <f t="shared" si="10"/>
        <v>168.39000000000001</v>
      </c>
      <c r="I67" s="319"/>
      <c r="J67" s="113"/>
      <c r="K67" s="323"/>
      <c r="L67" s="324">
        <f t="shared" si="1"/>
        <v>0</v>
      </c>
      <c r="M67" s="325">
        <f t="shared" si="2"/>
        <v>0</v>
      </c>
      <c r="N67" s="228"/>
      <c r="O67" s="223">
        <f t="shared" si="3"/>
        <v>0</v>
      </c>
      <c r="P67" s="223"/>
      <c r="Q67" s="109"/>
      <c r="R67" s="109"/>
      <c r="S67" s="116"/>
      <c r="T67" s="106"/>
    </row>
    <row r="68" spans="2:20" ht="22.8" x14ac:dyDescent="0.65">
      <c r="B68" s="221" t="s">
        <v>183</v>
      </c>
      <c r="C68" s="114" t="s">
        <v>189</v>
      </c>
      <c r="D68" s="315">
        <v>72</v>
      </c>
      <c r="E68" s="316">
        <v>47.63</v>
      </c>
      <c r="F68" s="315">
        <v>50</v>
      </c>
      <c r="G68" s="315"/>
      <c r="H68" s="315">
        <f t="shared" si="10"/>
        <v>50</v>
      </c>
      <c r="I68" s="319"/>
      <c r="J68" s="113"/>
      <c r="K68" s="323"/>
      <c r="L68" s="324">
        <f t="shared" si="1"/>
        <v>0</v>
      </c>
      <c r="M68" s="325">
        <f t="shared" si="2"/>
        <v>0</v>
      </c>
      <c r="N68" s="228"/>
      <c r="O68" s="223">
        <f t="shared" si="3"/>
        <v>0</v>
      </c>
      <c r="P68" s="223"/>
      <c r="Q68" s="109">
        <f t="shared" si="4"/>
        <v>0</v>
      </c>
      <c r="R68" s="109">
        <f t="shared" si="5"/>
        <v>0</v>
      </c>
      <c r="S68" s="116">
        <f t="shared" si="6"/>
        <v>0</v>
      </c>
      <c r="T68" s="106"/>
    </row>
    <row r="69" spans="2:20" ht="22.8" x14ac:dyDescent="0.65">
      <c r="B69" s="221" t="s">
        <v>190</v>
      </c>
      <c r="C69" s="114" t="s">
        <v>191</v>
      </c>
      <c r="D69" s="315">
        <v>20</v>
      </c>
      <c r="E69" s="316"/>
      <c r="F69" s="315">
        <v>135</v>
      </c>
      <c r="G69" s="315">
        <v>5</v>
      </c>
      <c r="H69" s="315">
        <f t="shared" si="10"/>
        <v>130</v>
      </c>
      <c r="I69" s="319"/>
      <c r="J69" s="113"/>
      <c r="K69" s="323"/>
      <c r="L69" s="324">
        <f t="shared" si="1"/>
        <v>0</v>
      </c>
      <c r="M69" s="325">
        <f t="shared" si="2"/>
        <v>0</v>
      </c>
      <c r="N69" s="228"/>
      <c r="O69" s="223">
        <f t="shared" si="3"/>
        <v>0</v>
      </c>
      <c r="P69" s="223"/>
      <c r="Q69" s="109">
        <f t="shared" si="4"/>
        <v>0</v>
      </c>
      <c r="R69" s="109">
        <f t="shared" si="5"/>
        <v>0</v>
      </c>
      <c r="S69" s="116">
        <f t="shared" si="6"/>
        <v>0</v>
      </c>
      <c r="T69" s="106"/>
    </row>
    <row r="70" spans="2:20" ht="22.8" x14ac:dyDescent="0.65">
      <c r="B70" s="221" t="s">
        <v>192</v>
      </c>
      <c r="C70" s="108" t="s">
        <v>193</v>
      </c>
      <c r="D70" s="308">
        <v>24</v>
      </c>
      <c r="E70" s="366">
        <v>44.8</v>
      </c>
      <c r="F70" s="308">
        <v>50</v>
      </c>
      <c r="G70" s="308"/>
      <c r="H70" s="315">
        <f t="shared" si="10"/>
        <v>50</v>
      </c>
      <c r="I70" s="319"/>
      <c r="J70" s="113"/>
      <c r="K70" s="323"/>
      <c r="L70" s="324">
        <f t="shared" si="1"/>
        <v>0</v>
      </c>
      <c r="M70" s="325">
        <f t="shared" si="2"/>
        <v>0</v>
      </c>
      <c r="N70" s="228"/>
      <c r="O70" s="223">
        <f t="shared" si="3"/>
        <v>0</v>
      </c>
      <c r="P70" s="223"/>
      <c r="Q70" s="109">
        <f t="shared" si="4"/>
        <v>0</v>
      </c>
      <c r="R70" s="109">
        <f t="shared" si="5"/>
        <v>0</v>
      </c>
      <c r="S70" s="116">
        <f t="shared" si="6"/>
        <v>0</v>
      </c>
      <c r="T70" s="106"/>
    </row>
    <row r="71" spans="2:20" ht="22.8" x14ac:dyDescent="0.65">
      <c r="B71" s="221" t="s">
        <v>192</v>
      </c>
      <c r="C71" s="108" t="s">
        <v>194</v>
      </c>
      <c r="D71" s="308">
        <v>12</v>
      </c>
      <c r="E71" s="366">
        <v>89.58</v>
      </c>
      <c r="F71" s="308">
        <v>100</v>
      </c>
      <c r="G71" s="308"/>
      <c r="H71" s="315">
        <f t="shared" si="10"/>
        <v>100</v>
      </c>
      <c r="I71" s="319"/>
      <c r="J71" s="113"/>
      <c r="K71" s="323"/>
      <c r="L71" s="324">
        <f t="shared" si="1"/>
        <v>0</v>
      </c>
      <c r="M71" s="325">
        <f t="shared" si="2"/>
        <v>0</v>
      </c>
      <c r="N71" s="228"/>
      <c r="O71" s="223">
        <f t="shared" si="3"/>
        <v>0</v>
      </c>
      <c r="P71" s="223"/>
      <c r="Q71" s="109">
        <f t="shared" si="4"/>
        <v>0</v>
      </c>
      <c r="R71" s="109">
        <f t="shared" si="5"/>
        <v>0</v>
      </c>
      <c r="S71" s="116">
        <f t="shared" si="6"/>
        <v>0</v>
      </c>
      <c r="T71" s="106"/>
    </row>
    <row r="72" spans="2:20" ht="22.8" x14ac:dyDescent="0.65">
      <c r="B72" s="221" t="s">
        <v>192</v>
      </c>
      <c r="C72" s="108" t="s">
        <v>195</v>
      </c>
      <c r="D72" s="308">
        <v>24</v>
      </c>
      <c r="E72" s="366">
        <v>58.25</v>
      </c>
      <c r="F72" s="308">
        <v>61</v>
      </c>
      <c r="G72" s="308"/>
      <c r="H72" s="308">
        <f t="shared" si="10"/>
        <v>61</v>
      </c>
      <c r="I72" s="319"/>
      <c r="J72" s="113"/>
      <c r="K72" s="323"/>
      <c r="L72" s="324">
        <f t="shared" si="1"/>
        <v>0</v>
      </c>
      <c r="M72" s="325">
        <f t="shared" si="2"/>
        <v>0</v>
      </c>
      <c r="N72" s="228"/>
      <c r="O72" s="223">
        <f t="shared" si="3"/>
        <v>0</v>
      </c>
      <c r="P72" s="223"/>
      <c r="Q72" s="109">
        <f t="shared" si="4"/>
        <v>0</v>
      </c>
      <c r="R72" s="109">
        <f t="shared" si="5"/>
        <v>0</v>
      </c>
      <c r="S72" s="116">
        <f t="shared" si="6"/>
        <v>0</v>
      </c>
      <c r="T72" s="106"/>
    </row>
    <row r="73" spans="2:20" ht="22.8" x14ac:dyDescent="0.65">
      <c r="B73" s="221" t="s">
        <v>196</v>
      </c>
      <c r="C73" s="108" t="s">
        <v>197</v>
      </c>
      <c r="D73" s="308">
        <v>12</v>
      </c>
      <c r="E73" s="309">
        <v>36.33</v>
      </c>
      <c r="F73" s="310">
        <v>38</v>
      </c>
      <c r="G73" s="314"/>
      <c r="H73" s="315">
        <f t="shared" si="10"/>
        <v>38</v>
      </c>
      <c r="I73" s="319"/>
      <c r="J73" s="113"/>
      <c r="K73" s="323"/>
      <c r="L73" s="324">
        <f t="shared" ref="L73:L81" si="11">I73-K73</f>
        <v>0</v>
      </c>
      <c r="M73" s="325">
        <f t="shared" ref="M73:M81" si="12">L73*H73</f>
        <v>0</v>
      </c>
      <c r="N73" s="228"/>
      <c r="O73" s="223">
        <f t="shared" ref="O73:O81" si="13">N73*H73</f>
        <v>0</v>
      </c>
      <c r="P73" s="223"/>
      <c r="Q73" s="109">
        <f t="shared" ref="Q73:Q81" si="14">I73*H73</f>
        <v>0</v>
      </c>
      <c r="R73" s="109">
        <f t="shared" ref="R73:R81" si="15">K73*H73</f>
        <v>0</v>
      </c>
      <c r="S73" s="116">
        <f t="shared" ref="S73:S81" si="16">L73*H73</f>
        <v>0</v>
      </c>
      <c r="T73" s="106"/>
    </row>
    <row r="74" spans="2:20" ht="22.8" x14ac:dyDescent="0.65">
      <c r="B74" s="221" t="s">
        <v>198</v>
      </c>
      <c r="C74" s="114" t="s">
        <v>199</v>
      </c>
      <c r="D74" s="315">
        <v>48</v>
      </c>
      <c r="E74" s="316"/>
      <c r="F74" s="315">
        <v>65</v>
      </c>
      <c r="G74" s="315">
        <v>10</v>
      </c>
      <c r="H74" s="315">
        <f t="shared" si="10"/>
        <v>55</v>
      </c>
      <c r="I74" s="319"/>
      <c r="J74" s="113"/>
      <c r="K74" s="323"/>
      <c r="L74" s="324">
        <f t="shared" si="11"/>
        <v>0</v>
      </c>
      <c r="M74" s="325">
        <f t="shared" si="12"/>
        <v>0</v>
      </c>
      <c r="N74" s="228"/>
      <c r="O74" s="223">
        <f t="shared" si="13"/>
        <v>0</v>
      </c>
      <c r="P74" s="223"/>
      <c r="Q74" s="109">
        <f t="shared" si="14"/>
        <v>0</v>
      </c>
      <c r="R74" s="109">
        <f t="shared" si="15"/>
        <v>0</v>
      </c>
      <c r="S74" s="116">
        <f t="shared" si="16"/>
        <v>0</v>
      </c>
      <c r="T74" s="106"/>
    </row>
    <row r="75" spans="2:20" ht="22.8" x14ac:dyDescent="0.65">
      <c r="B75" s="221" t="s">
        <v>198</v>
      </c>
      <c r="C75" s="114" t="s">
        <v>200</v>
      </c>
      <c r="D75" s="315">
        <v>24</v>
      </c>
      <c r="E75" s="316"/>
      <c r="F75" s="315">
        <v>154</v>
      </c>
      <c r="G75" s="315">
        <v>20</v>
      </c>
      <c r="H75" s="315">
        <f t="shared" si="10"/>
        <v>134</v>
      </c>
      <c r="I75" s="319"/>
      <c r="J75" s="113"/>
      <c r="K75" s="323"/>
      <c r="L75" s="324">
        <f t="shared" si="11"/>
        <v>0</v>
      </c>
      <c r="M75" s="325">
        <f t="shared" si="12"/>
        <v>0</v>
      </c>
      <c r="N75" s="228"/>
      <c r="O75" s="223">
        <f t="shared" si="13"/>
        <v>0</v>
      </c>
      <c r="P75" s="223"/>
      <c r="Q75" s="109">
        <f t="shared" si="14"/>
        <v>0</v>
      </c>
      <c r="R75" s="109">
        <f t="shared" si="15"/>
        <v>0</v>
      </c>
      <c r="S75" s="116">
        <f t="shared" si="16"/>
        <v>0</v>
      </c>
      <c r="T75" s="106"/>
    </row>
    <row r="76" spans="2:20" ht="22.8" x14ac:dyDescent="0.65">
      <c r="B76" s="221" t="s">
        <v>198</v>
      </c>
      <c r="C76" s="114" t="s">
        <v>201</v>
      </c>
      <c r="D76" s="315">
        <v>12</v>
      </c>
      <c r="E76" s="316"/>
      <c r="F76" s="315">
        <v>310</v>
      </c>
      <c r="G76" s="315">
        <v>40</v>
      </c>
      <c r="H76" s="315">
        <f t="shared" si="10"/>
        <v>270</v>
      </c>
      <c r="I76" s="319"/>
      <c r="J76" s="113"/>
      <c r="K76" s="323"/>
      <c r="L76" s="324">
        <f t="shared" si="11"/>
        <v>0</v>
      </c>
      <c r="M76" s="325">
        <f t="shared" si="12"/>
        <v>0</v>
      </c>
      <c r="N76" s="228"/>
      <c r="O76" s="223">
        <f t="shared" si="13"/>
        <v>0</v>
      </c>
      <c r="P76" s="223"/>
      <c r="Q76" s="109">
        <f t="shared" si="14"/>
        <v>0</v>
      </c>
      <c r="R76" s="109">
        <f t="shared" si="15"/>
        <v>0</v>
      </c>
      <c r="S76" s="116">
        <f t="shared" si="16"/>
        <v>0</v>
      </c>
      <c r="T76" s="106"/>
    </row>
    <row r="77" spans="2:20" ht="22.8" x14ac:dyDescent="0.65">
      <c r="B77" s="221" t="s">
        <v>198</v>
      </c>
      <c r="C77" s="114" t="s">
        <v>202</v>
      </c>
      <c r="D77" s="315">
        <v>3</v>
      </c>
      <c r="E77" s="316"/>
      <c r="F77" s="315">
        <v>1750</v>
      </c>
      <c r="G77" s="315"/>
      <c r="H77" s="315">
        <f t="shared" si="10"/>
        <v>1750</v>
      </c>
      <c r="I77" s="319"/>
      <c r="J77" s="113"/>
      <c r="K77" s="323"/>
      <c r="L77" s="324">
        <f t="shared" si="11"/>
        <v>0</v>
      </c>
      <c r="M77" s="325">
        <f t="shared" si="12"/>
        <v>0</v>
      </c>
      <c r="N77" s="228"/>
      <c r="O77" s="223">
        <f t="shared" si="13"/>
        <v>0</v>
      </c>
      <c r="P77" s="223"/>
      <c r="Q77" s="109">
        <f t="shared" si="14"/>
        <v>0</v>
      </c>
      <c r="R77" s="109">
        <f t="shared" si="15"/>
        <v>0</v>
      </c>
      <c r="S77" s="116">
        <f t="shared" si="16"/>
        <v>0</v>
      </c>
      <c r="T77" s="106"/>
    </row>
    <row r="78" spans="2:20" ht="22.8" x14ac:dyDescent="0.65">
      <c r="B78" s="221" t="s">
        <v>198</v>
      </c>
      <c r="C78" s="114" t="s">
        <v>203</v>
      </c>
      <c r="D78" s="315">
        <v>15</v>
      </c>
      <c r="E78" s="316"/>
      <c r="F78" s="315">
        <v>375</v>
      </c>
      <c r="G78" s="315"/>
      <c r="H78" s="315">
        <f t="shared" si="10"/>
        <v>375</v>
      </c>
      <c r="I78" s="319"/>
      <c r="J78" s="113"/>
      <c r="K78" s="323"/>
      <c r="L78" s="324">
        <f t="shared" si="11"/>
        <v>0</v>
      </c>
      <c r="M78" s="325">
        <f t="shared" si="12"/>
        <v>0</v>
      </c>
      <c r="N78" s="228"/>
      <c r="O78" s="223">
        <f t="shared" si="13"/>
        <v>0</v>
      </c>
      <c r="P78" s="223"/>
      <c r="Q78" s="109">
        <f t="shared" si="14"/>
        <v>0</v>
      </c>
      <c r="R78" s="109">
        <f t="shared" si="15"/>
        <v>0</v>
      </c>
      <c r="S78" s="116">
        <f t="shared" si="16"/>
        <v>0</v>
      </c>
      <c r="T78" s="106"/>
    </row>
    <row r="79" spans="2:20" ht="22.8" x14ac:dyDescent="0.65">
      <c r="B79" s="133"/>
      <c r="C79" s="115" t="s">
        <v>325</v>
      </c>
      <c r="D79" s="315">
        <v>15</v>
      </c>
      <c r="E79" s="316"/>
      <c r="F79" s="315">
        <v>375</v>
      </c>
      <c r="G79" s="315"/>
      <c r="H79" s="315">
        <v>7.88</v>
      </c>
      <c r="I79" s="319"/>
      <c r="J79" s="113"/>
      <c r="K79" s="323"/>
      <c r="L79" s="324">
        <f t="shared" si="11"/>
        <v>0</v>
      </c>
      <c r="M79" s="325">
        <f t="shared" si="12"/>
        <v>0</v>
      </c>
      <c r="N79" s="222"/>
      <c r="O79" s="346">
        <f t="shared" si="13"/>
        <v>0</v>
      </c>
      <c r="P79" s="223"/>
      <c r="Q79" s="109">
        <f t="shared" si="14"/>
        <v>0</v>
      </c>
      <c r="R79" s="109">
        <f t="shared" si="15"/>
        <v>0</v>
      </c>
      <c r="S79" s="116">
        <f t="shared" si="16"/>
        <v>0</v>
      </c>
      <c r="T79" s="106"/>
    </row>
    <row r="80" spans="2:20" ht="19.8" x14ac:dyDescent="0.3">
      <c r="B80" s="133"/>
      <c r="C80" s="115"/>
      <c r="D80" s="317"/>
      <c r="E80" s="317"/>
      <c r="F80" s="311"/>
      <c r="G80" s="311"/>
      <c r="H80" s="317"/>
      <c r="I80" s="330"/>
      <c r="J80" s="113"/>
      <c r="K80" s="330"/>
      <c r="L80" s="220">
        <f t="shared" si="11"/>
        <v>0</v>
      </c>
      <c r="M80" s="220">
        <f t="shared" si="12"/>
        <v>0</v>
      </c>
      <c r="N80" s="228"/>
      <c r="O80" s="223">
        <f t="shared" si="13"/>
        <v>0</v>
      </c>
      <c r="P80" s="223"/>
      <c r="Q80" s="109">
        <f t="shared" si="14"/>
        <v>0</v>
      </c>
      <c r="R80" s="109">
        <f t="shared" si="15"/>
        <v>0</v>
      </c>
      <c r="S80" s="116">
        <f t="shared" si="16"/>
        <v>0</v>
      </c>
      <c r="T80" s="106"/>
    </row>
    <row r="81" spans="2:20" ht="19.8" x14ac:dyDescent="0.3">
      <c r="B81" s="133"/>
      <c r="C81" s="115"/>
      <c r="D81" s="114"/>
      <c r="E81" s="114"/>
      <c r="F81" s="220"/>
      <c r="G81" s="220"/>
      <c r="H81" s="114"/>
      <c r="I81" s="330"/>
      <c r="J81" s="113"/>
      <c r="K81" s="330"/>
      <c r="L81" s="220">
        <f t="shared" si="11"/>
        <v>0</v>
      </c>
      <c r="M81" s="220">
        <f t="shared" si="12"/>
        <v>0</v>
      </c>
      <c r="N81" s="228"/>
      <c r="O81" s="223">
        <f t="shared" si="13"/>
        <v>0</v>
      </c>
      <c r="P81" s="223"/>
      <c r="Q81" s="109">
        <f t="shared" si="14"/>
        <v>0</v>
      </c>
      <c r="R81" s="109">
        <f t="shared" si="15"/>
        <v>0</v>
      </c>
      <c r="S81" s="116">
        <f t="shared" si="16"/>
        <v>0</v>
      </c>
      <c r="T81" s="106"/>
    </row>
    <row r="82" spans="2:20" ht="19.8" x14ac:dyDescent="0.35">
      <c r="B82" s="133"/>
      <c r="C82" s="228"/>
      <c r="D82" s="232"/>
      <c r="E82" s="232"/>
      <c r="F82" s="232"/>
      <c r="G82" s="232"/>
      <c r="H82" s="232"/>
      <c r="I82" s="373"/>
      <c r="J82" s="232"/>
      <c r="K82" s="232"/>
      <c r="L82" s="232"/>
      <c r="M82" s="220"/>
      <c r="N82" s="232"/>
      <c r="O82" s="233"/>
      <c r="P82" s="233"/>
      <c r="Q82" s="116"/>
      <c r="R82" s="116"/>
      <c r="S82" s="116"/>
      <c r="T82" s="106"/>
    </row>
    <row r="83" spans="2:20" ht="25.8" x14ac:dyDescent="0.55000000000000004">
      <c r="B83" s="133"/>
      <c r="C83" s="228"/>
      <c r="D83" s="268"/>
      <c r="E83" s="268"/>
      <c r="F83" s="268"/>
      <c r="G83" s="268"/>
      <c r="H83" s="269"/>
      <c r="I83" s="269"/>
      <c r="J83" s="848" t="s">
        <v>204</v>
      </c>
      <c r="K83" s="848"/>
      <c r="L83" s="848"/>
      <c r="M83" s="349">
        <f>SUM(M4:M82)</f>
        <v>13152</v>
      </c>
      <c r="N83" s="348" t="s">
        <v>205</v>
      </c>
      <c r="O83" s="351">
        <f>SUM(O4:O82)</f>
        <v>0</v>
      </c>
      <c r="P83" s="270">
        <f>SUM(P4:P82)</f>
        <v>0</v>
      </c>
      <c r="Q83" s="271">
        <f>SUM(Q4:Q82)</f>
        <v>17741</v>
      </c>
      <c r="R83" s="271">
        <f>SUM(R4:R82)</f>
        <v>4589</v>
      </c>
      <c r="S83" s="272">
        <f>SUM(S4:S82)</f>
        <v>13152</v>
      </c>
      <c r="T83" s="267">
        <f>R83+S83</f>
        <v>17741</v>
      </c>
    </row>
    <row r="84" spans="2:20" ht="33" customHeight="1" x14ac:dyDescent="0.7">
      <c r="B84" s="105"/>
      <c r="C84" s="117"/>
      <c r="D84" s="859"/>
      <c r="E84" s="859"/>
      <c r="F84" s="859"/>
      <c r="G84" s="428"/>
      <c r="H84" s="118"/>
      <c r="I84" s="977" t="s">
        <v>328</v>
      </c>
      <c r="J84" s="977"/>
      <c r="K84" s="977"/>
      <c r="L84" s="977"/>
      <c r="M84" s="350">
        <f>O83</f>
        <v>0</v>
      </c>
      <c r="N84" s="429"/>
      <c r="O84" s="119"/>
      <c r="P84" s="220"/>
      <c r="Q84" s="120"/>
      <c r="R84" s="120"/>
      <c r="S84" s="106"/>
      <c r="T84" s="106"/>
    </row>
    <row r="85" spans="2:20" ht="39.6" x14ac:dyDescent="0.55000000000000004">
      <c r="B85" s="105"/>
      <c r="C85" s="117"/>
      <c r="D85" s="978"/>
      <c r="E85" s="978"/>
      <c r="F85" s="424"/>
      <c r="G85" s="121"/>
      <c r="H85" s="122"/>
      <c r="I85" s="979" t="s">
        <v>270</v>
      </c>
      <c r="J85" s="979"/>
      <c r="K85" s="979"/>
      <c r="L85" s="979"/>
      <c r="M85" s="437">
        <f>M83-M84</f>
        <v>13152</v>
      </c>
      <c r="N85" s="429"/>
      <c r="O85" s="123"/>
      <c r="P85" s="438" t="s">
        <v>263</v>
      </c>
      <c r="Q85" s="120"/>
      <c r="R85" s="120"/>
      <c r="S85" s="106"/>
      <c r="T85" s="106"/>
    </row>
    <row r="86" spans="2:20" ht="25.8" x14ac:dyDescent="0.55000000000000004">
      <c r="B86" s="105"/>
      <c r="C86" s="436"/>
      <c r="D86" s="121"/>
      <c r="E86" s="121"/>
      <c r="F86" s="424"/>
      <c r="G86" s="121"/>
      <c r="H86" s="122"/>
      <c r="I86" s="433"/>
      <c r="J86" s="433"/>
      <c r="K86" s="433"/>
      <c r="L86" s="433"/>
      <c r="M86" s="434"/>
      <c r="N86" s="432"/>
      <c r="O86" s="432"/>
      <c r="P86" s="435"/>
      <c r="Q86" s="120"/>
      <c r="R86" s="120"/>
      <c r="S86" s="106"/>
      <c r="T86" s="106"/>
    </row>
    <row r="87" spans="2:20" ht="25.8" x14ac:dyDescent="0.55000000000000004">
      <c r="B87" s="105"/>
      <c r="C87" s="436"/>
      <c r="D87" s="468"/>
      <c r="E87" s="468"/>
      <c r="F87" s="424"/>
      <c r="G87" s="468"/>
      <c r="H87" s="122"/>
      <c r="I87" s="433"/>
      <c r="J87" s="433"/>
      <c r="K87" s="433"/>
      <c r="L87" s="433"/>
      <c r="M87" s="434"/>
      <c r="N87" s="469"/>
      <c r="O87" s="469"/>
      <c r="P87" s="435"/>
      <c r="Q87" s="120"/>
      <c r="R87" s="120"/>
      <c r="S87" s="106"/>
      <c r="T87" s="106"/>
    </row>
    <row r="88" spans="2:20" ht="25.8" x14ac:dyDescent="0.55000000000000004">
      <c r="B88" s="105"/>
      <c r="C88" s="436"/>
      <c r="D88" s="468"/>
      <c r="E88" s="468"/>
      <c r="F88" s="424"/>
      <c r="G88" s="468"/>
      <c r="H88" s="122"/>
      <c r="I88" s="433"/>
      <c r="J88" s="433"/>
      <c r="K88" s="433"/>
      <c r="L88" s="433"/>
      <c r="M88" s="434"/>
      <c r="N88" s="469"/>
      <c r="O88" s="469"/>
      <c r="P88" s="435"/>
      <c r="Q88" s="120"/>
      <c r="R88" s="120"/>
      <c r="S88" s="106"/>
      <c r="T88" s="106"/>
    </row>
    <row r="89" spans="2:20" ht="25.8" x14ac:dyDescent="0.55000000000000004">
      <c r="B89" s="105"/>
      <c r="C89" s="436"/>
      <c r="D89" s="468"/>
      <c r="E89" s="468"/>
      <c r="F89" s="424"/>
      <c r="G89" s="468"/>
      <c r="H89" s="122"/>
      <c r="I89" s="433"/>
      <c r="J89" s="433"/>
      <c r="K89" s="433"/>
      <c r="L89" s="433"/>
      <c r="M89" s="434"/>
      <c r="N89" s="469"/>
      <c r="O89" s="469"/>
      <c r="P89" s="435"/>
      <c r="Q89" s="120"/>
      <c r="R89" s="120"/>
      <c r="S89" s="106"/>
      <c r="T89" s="106"/>
    </row>
    <row r="90" spans="2:20" ht="25.8" x14ac:dyDescent="0.55000000000000004">
      <c r="B90" s="105"/>
      <c r="C90" s="436"/>
      <c r="D90" s="468"/>
      <c r="E90" s="468"/>
      <c r="F90" s="424"/>
      <c r="G90" s="468"/>
      <c r="H90" s="122"/>
      <c r="I90" s="433"/>
      <c r="J90" s="433"/>
      <c r="K90" s="433"/>
      <c r="L90" s="433"/>
      <c r="M90" s="434"/>
      <c r="N90" s="469"/>
      <c r="O90" s="469"/>
      <c r="P90" s="435"/>
      <c r="Q90" s="120"/>
      <c r="R90" s="120"/>
      <c r="S90" s="106"/>
      <c r="T90" s="106"/>
    </row>
    <row r="91" spans="2:20" ht="25.8" x14ac:dyDescent="0.55000000000000004">
      <c r="B91" s="105"/>
      <c r="C91" s="436"/>
      <c r="D91" s="468"/>
      <c r="E91" s="468"/>
      <c r="F91" s="424"/>
      <c r="G91" s="468"/>
      <c r="H91" s="122"/>
      <c r="I91" s="433"/>
      <c r="J91" s="433"/>
      <c r="K91" s="433"/>
      <c r="L91" s="433"/>
      <c r="M91" s="434"/>
      <c r="N91" s="469"/>
      <c r="O91" s="469"/>
      <c r="P91" s="435"/>
      <c r="Q91" s="120"/>
      <c r="R91" s="120"/>
      <c r="S91" s="106"/>
      <c r="T91" s="106"/>
    </row>
    <row r="92" spans="2:20" ht="25.8" x14ac:dyDescent="0.55000000000000004">
      <c r="B92" s="105"/>
      <c r="C92" s="436"/>
      <c r="D92" s="468"/>
      <c r="E92" s="468"/>
      <c r="F92" s="424"/>
      <c r="G92" s="468"/>
      <c r="H92" s="122"/>
      <c r="I92" s="433"/>
      <c r="J92" s="433"/>
      <c r="K92" s="433"/>
      <c r="L92" s="433"/>
      <c r="M92" s="434"/>
      <c r="N92" s="469"/>
      <c r="O92" s="469"/>
      <c r="P92" s="435"/>
      <c r="Q92" s="120"/>
      <c r="R92" s="120"/>
      <c r="S92" s="106"/>
      <c r="T92" s="106"/>
    </row>
    <row r="93" spans="2:20" ht="25.8" x14ac:dyDescent="0.55000000000000004">
      <c r="B93" s="105"/>
      <c r="C93" s="436"/>
      <c r="D93" s="468"/>
      <c r="E93" s="468"/>
      <c r="F93" s="424"/>
      <c r="G93" s="468"/>
      <c r="H93" s="122"/>
      <c r="I93" s="433"/>
      <c r="J93" s="433"/>
      <c r="K93" s="433"/>
      <c r="L93" s="433"/>
      <c r="M93" s="434"/>
      <c r="N93" s="469"/>
      <c r="O93" s="469"/>
      <c r="P93" s="435"/>
      <c r="Q93" s="120"/>
      <c r="R93" s="120"/>
      <c r="S93" s="106"/>
      <c r="T93" s="106"/>
    </row>
    <row r="94" spans="2:20" ht="25.8" x14ac:dyDescent="0.55000000000000004">
      <c r="B94" s="105"/>
      <c r="C94" s="480" t="s">
        <v>396</v>
      </c>
      <c r="D94" s="121"/>
      <c r="E94" s="121"/>
      <c r="F94" s="424"/>
      <c r="G94" s="121"/>
      <c r="H94" s="122"/>
      <c r="I94" s="433"/>
      <c r="J94" s="433"/>
      <c r="K94" s="433"/>
      <c r="L94" s="433"/>
      <c r="M94" s="434"/>
      <c r="N94" s="432"/>
      <c r="O94" s="432"/>
      <c r="P94" s="435"/>
      <c r="Q94" s="120"/>
      <c r="R94" s="120"/>
      <c r="S94" s="106"/>
      <c r="T94" s="106"/>
    </row>
    <row r="95" spans="2:20" ht="16.2" thickBot="1" x14ac:dyDescent="0.35">
      <c r="B95" s="243"/>
      <c r="C95" s="340" t="s">
        <v>324</v>
      </c>
      <c r="D95" s="341"/>
      <c r="E95" s="341"/>
      <c r="F95" s="342" t="s">
        <v>248</v>
      </c>
      <c r="G95" s="841">
        <f ca="1">TODAY()</f>
        <v>46291</v>
      </c>
      <c r="H95" s="841"/>
      <c r="I95" s="343"/>
      <c r="J95" s="344"/>
      <c r="K95" s="344"/>
      <c r="L95" s="344"/>
      <c r="M95" s="339" t="s">
        <v>123</v>
      </c>
      <c r="N95" s="431">
        <v>20100</v>
      </c>
      <c r="O95" s="244"/>
      <c r="P95" s="244"/>
      <c r="Q95" s="92"/>
      <c r="R95" s="92"/>
      <c r="S95" s="116"/>
      <c r="T95" s="106"/>
    </row>
    <row r="96" spans="2:20" ht="39.6" x14ac:dyDescent="0.3">
      <c r="B96" s="112"/>
      <c r="C96" s="245" t="s">
        <v>110</v>
      </c>
      <c r="D96" s="246" t="s">
        <v>111</v>
      </c>
      <c r="E96" s="256" t="s">
        <v>258</v>
      </c>
      <c r="F96" s="247" t="s">
        <v>112</v>
      </c>
      <c r="G96" s="247" t="s">
        <v>113</v>
      </c>
      <c r="H96" s="248" t="s">
        <v>114</v>
      </c>
      <c r="I96" s="249" t="s">
        <v>115</v>
      </c>
      <c r="J96" s="255"/>
      <c r="K96" s="252" t="s">
        <v>116</v>
      </c>
      <c r="L96" s="241" t="s">
        <v>117</v>
      </c>
      <c r="M96" s="251" t="s">
        <v>372</v>
      </c>
      <c r="N96" s="430" t="s">
        <v>119</v>
      </c>
      <c r="O96" s="250" t="s">
        <v>261</v>
      </c>
      <c r="P96" s="107" t="s">
        <v>263</v>
      </c>
      <c r="Q96" s="265" t="s">
        <v>264</v>
      </c>
      <c r="R96" s="265" t="s">
        <v>262</v>
      </c>
      <c r="S96" s="266" t="s">
        <v>265</v>
      </c>
      <c r="T96" s="106"/>
    </row>
    <row r="97" spans="2:20" ht="22.8" x14ac:dyDescent="0.65">
      <c r="B97" s="221" t="s">
        <v>124</v>
      </c>
      <c r="C97" s="108" t="s">
        <v>125</v>
      </c>
      <c r="D97" s="293">
        <v>12</v>
      </c>
      <c r="E97" s="294">
        <v>871.17</v>
      </c>
      <c r="F97" s="293">
        <v>893</v>
      </c>
      <c r="G97" s="293"/>
      <c r="H97" s="293">
        <f t="shared" ref="H97:H103" si="17">SUM(F97-G97)</f>
        <v>893</v>
      </c>
      <c r="I97" s="318">
        <v>1</v>
      </c>
      <c r="J97" s="113"/>
      <c r="K97" s="322"/>
      <c r="L97" s="324">
        <f>I97-K97</f>
        <v>1</v>
      </c>
      <c r="M97" s="325">
        <f>L97*H97</f>
        <v>893</v>
      </c>
      <c r="N97" s="222"/>
      <c r="O97" s="223">
        <f>N97*H97</f>
        <v>0</v>
      </c>
      <c r="P97" s="223"/>
      <c r="Q97" s="109">
        <f>I97*H97</f>
        <v>893</v>
      </c>
      <c r="R97" s="109">
        <f>K97*H97</f>
        <v>0</v>
      </c>
      <c r="S97" s="116">
        <f>L97*H97</f>
        <v>893</v>
      </c>
      <c r="T97" s="106"/>
    </row>
    <row r="98" spans="2:20" ht="22.8" x14ac:dyDescent="0.65">
      <c r="B98" s="221" t="s">
        <v>124</v>
      </c>
      <c r="C98" s="108" t="s">
        <v>126</v>
      </c>
      <c r="D98" s="293">
        <v>24</v>
      </c>
      <c r="E98" s="294">
        <v>438.04</v>
      </c>
      <c r="F98" s="293">
        <v>449</v>
      </c>
      <c r="G98" s="293"/>
      <c r="H98" s="293">
        <f t="shared" si="17"/>
        <v>449</v>
      </c>
      <c r="I98" s="318">
        <v>19</v>
      </c>
      <c r="J98" s="113"/>
      <c r="K98" s="322">
        <v>2</v>
      </c>
      <c r="L98" s="324">
        <f t="shared" ref="L98:L165" si="18">I98-K98</f>
        <v>17</v>
      </c>
      <c r="M98" s="325">
        <f t="shared" ref="M98:M165" si="19">L98*H98</f>
        <v>7633</v>
      </c>
      <c r="N98" s="112"/>
      <c r="O98" s="223">
        <f t="shared" ref="O98:O165" si="20">N98*H98</f>
        <v>0</v>
      </c>
      <c r="P98" s="223"/>
      <c r="Q98" s="109">
        <f t="shared" ref="Q98:Q155" si="21">I98*H98</f>
        <v>8531</v>
      </c>
      <c r="R98" s="109">
        <f t="shared" ref="R98:R149" si="22">K98*H98</f>
        <v>898</v>
      </c>
      <c r="S98" s="116">
        <f t="shared" ref="S98:S155" si="23">L98*H98</f>
        <v>7633</v>
      </c>
      <c r="T98" s="106"/>
    </row>
    <row r="99" spans="2:20" ht="22.8" x14ac:dyDescent="0.65">
      <c r="B99" s="221" t="s">
        <v>124</v>
      </c>
      <c r="C99" s="108" t="s">
        <v>127</v>
      </c>
      <c r="D99" s="293">
        <v>60</v>
      </c>
      <c r="E99" s="294">
        <v>184.37</v>
      </c>
      <c r="F99" s="293">
        <v>190</v>
      </c>
      <c r="G99" s="293">
        <v>10</v>
      </c>
      <c r="H99" s="293">
        <f t="shared" si="17"/>
        <v>180</v>
      </c>
      <c r="I99" s="318"/>
      <c r="J99" s="113"/>
      <c r="K99" s="322"/>
      <c r="L99" s="324">
        <f t="shared" si="18"/>
        <v>0</v>
      </c>
      <c r="M99" s="325">
        <f t="shared" si="19"/>
        <v>0</v>
      </c>
      <c r="N99" s="222"/>
      <c r="O99" s="223">
        <f t="shared" si="20"/>
        <v>0</v>
      </c>
      <c r="P99" s="223"/>
      <c r="Q99" s="109">
        <f t="shared" si="21"/>
        <v>0</v>
      </c>
      <c r="R99" s="109">
        <f t="shared" si="22"/>
        <v>0</v>
      </c>
      <c r="S99" s="116">
        <f t="shared" si="23"/>
        <v>0</v>
      </c>
      <c r="T99" s="106"/>
    </row>
    <row r="100" spans="2:20" ht="22.8" x14ac:dyDescent="0.65">
      <c r="B100" s="221" t="s">
        <v>124</v>
      </c>
      <c r="C100" s="108" t="s">
        <v>128</v>
      </c>
      <c r="D100" s="293">
        <v>120</v>
      </c>
      <c r="E100" s="294">
        <v>97.58</v>
      </c>
      <c r="F100" s="293">
        <v>100</v>
      </c>
      <c r="G100" s="293"/>
      <c r="H100" s="293">
        <f t="shared" si="17"/>
        <v>100</v>
      </c>
      <c r="I100" s="318"/>
      <c r="J100" s="113"/>
      <c r="K100" s="322"/>
      <c r="L100" s="324">
        <f t="shared" si="18"/>
        <v>0</v>
      </c>
      <c r="M100" s="325">
        <f t="shared" si="19"/>
        <v>0</v>
      </c>
      <c r="N100" s="112"/>
      <c r="O100" s="223">
        <f t="shared" si="20"/>
        <v>0</v>
      </c>
      <c r="P100" s="223"/>
      <c r="Q100" s="109">
        <f t="shared" si="21"/>
        <v>0</v>
      </c>
      <c r="R100" s="109">
        <f t="shared" si="22"/>
        <v>0</v>
      </c>
      <c r="S100" s="116">
        <f t="shared" si="23"/>
        <v>0</v>
      </c>
      <c r="T100" s="106"/>
    </row>
    <row r="101" spans="2:20" ht="22.8" x14ac:dyDescent="0.65">
      <c r="B101" s="221" t="s">
        <v>124</v>
      </c>
      <c r="C101" s="108" t="s">
        <v>129</v>
      </c>
      <c r="D101" s="293">
        <v>240</v>
      </c>
      <c r="E101" s="294">
        <v>52.21</v>
      </c>
      <c r="F101" s="293">
        <v>53.5</v>
      </c>
      <c r="G101" s="293"/>
      <c r="H101" s="293">
        <f t="shared" si="17"/>
        <v>53.5</v>
      </c>
      <c r="I101" s="318"/>
      <c r="J101" s="113"/>
      <c r="K101" s="322"/>
      <c r="L101" s="324">
        <f t="shared" si="18"/>
        <v>0</v>
      </c>
      <c r="M101" s="325">
        <f t="shared" si="19"/>
        <v>0</v>
      </c>
      <c r="N101" s="112"/>
      <c r="O101" s="223">
        <f t="shared" si="20"/>
        <v>0</v>
      </c>
      <c r="P101" s="223"/>
      <c r="Q101" s="109">
        <f t="shared" si="21"/>
        <v>0</v>
      </c>
      <c r="R101" s="109">
        <f t="shared" si="22"/>
        <v>0</v>
      </c>
      <c r="S101" s="116">
        <f t="shared" si="23"/>
        <v>0</v>
      </c>
      <c r="T101" s="106"/>
    </row>
    <row r="102" spans="2:20" ht="22.8" x14ac:dyDescent="0.65">
      <c r="B102" s="221" t="s">
        <v>124</v>
      </c>
      <c r="C102" s="108" t="s">
        <v>130</v>
      </c>
      <c r="D102" s="293">
        <v>12</v>
      </c>
      <c r="E102" s="294">
        <v>697.5</v>
      </c>
      <c r="F102" s="293">
        <v>715</v>
      </c>
      <c r="G102" s="293"/>
      <c r="H102" s="293">
        <f t="shared" si="17"/>
        <v>715</v>
      </c>
      <c r="I102" s="318"/>
      <c r="J102" s="113"/>
      <c r="K102" s="322"/>
      <c r="L102" s="324">
        <f t="shared" si="18"/>
        <v>0</v>
      </c>
      <c r="M102" s="325">
        <f t="shared" si="19"/>
        <v>0</v>
      </c>
      <c r="N102" s="112"/>
      <c r="O102" s="223">
        <f t="shared" si="20"/>
        <v>0</v>
      </c>
      <c r="P102" s="223"/>
      <c r="Q102" s="109">
        <f t="shared" si="21"/>
        <v>0</v>
      </c>
      <c r="R102" s="109">
        <f t="shared" si="22"/>
        <v>0</v>
      </c>
      <c r="S102" s="116">
        <f t="shared" si="23"/>
        <v>0</v>
      </c>
      <c r="T102" s="254"/>
    </row>
    <row r="103" spans="2:20" ht="22.8" x14ac:dyDescent="0.65">
      <c r="B103" s="221" t="s">
        <v>124</v>
      </c>
      <c r="C103" s="108" t="s">
        <v>131</v>
      </c>
      <c r="D103" s="293">
        <v>24</v>
      </c>
      <c r="E103" s="294">
        <v>351.21</v>
      </c>
      <c r="F103" s="293">
        <v>360</v>
      </c>
      <c r="G103" s="293"/>
      <c r="H103" s="293">
        <f t="shared" si="17"/>
        <v>360</v>
      </c>
      <c r="I103" s="318"/>
      <c r="J103" s="113"/>
      <c r="K103" s="322"/>
      <c r="L103" s="324">
        <f t="shared" si="18"/>
        <v>0</v>
      </c>
      <c r="M103" s="325">
        <f t="shared" si="19"/>
        <v>0</v>
      </c>
      <c r="N103" s="112"/>
      <c r="O103" s="223">
        <f t="shared" si="20"/>
        <v>0</v>
      </c>
      <c r="P103" s="223"/>
      <c r="Q103" s="109">
        <f t="shared" si="21"/>
        <v>0</v>
      </c>
      <c r="R103" s="109">
        <f t="shared" si="22"/>
        <v>0</v>
      </c>
      <c r="S103" s="116">
        <f t="shared" si="23"/>
        <v>0</v>
      </c>
      <c r="T103" s="254"/>
    </row>
    <row r="104" spans="2:20" ht="22.8" x14ac:dyDescent="0.65">
      <c r="B104" s="221" t="s">
        <v>124</v>
      </c>
      <c r="C104" s="111" t="s">
        <v>132</v>
      </c>
      <c r="D104" s="293">
        <v>12</v>
      </c>
      <c r="E104" s="365">
        <v>658</v>
      </c>
      <c r="F104" s="293">
        <v>725</v>
      </c>
      <c r="G104" s="293">
        <v>30</v>
      </c>
      <c r="H104" s="293">
        <f>F104-G104</f>
        <v>695</v>
      </c>
      <c r="I104" s="319"/>
      <c r="J104" s="113"/>
      <c r="K104" s="322"/>
      <c r="L104" s="324">
        <f t="shared" si="18"/>
        <v>0</v>
      </c>
      <c r="M104" s="325">
        <f t="shared" si="19"/>
        <v>0</v>
      </c>
      <c r="N104" s="112"/>
      <c r="O104" s="223">
        <f t="shared" si="20"/>
        <v>0</v>
      </c>
      <c r="P104" s="223"/>
      <c r="Q104" s="109">
        <f t="shared" si="21"/>
        <v>0</v>
      </c>
      <c r="R104" s="109">
        <f t="shared" si="22"/>
        <v>0</v>
      </c>
      <c r="S104" s="116">
        <f t="shared" si="23"/>
        <v>0</v>
      </c>
      <c r="T104" s="254"/>
    </row>
    <row r="105" spans="2:20" ht="22.8" x14ac:dyDescent="0.65">
      <c r="B105" s="221" t="s">
        <v>124</v>
      </c>
      <c r="C105" s="108" t="s">
        <v>133</v>
      </c>
      <c r="D105" s="293">
        <v>24</v>
      </c>
      <c r="E105" s="365">
        <v>336.37</v>
      </c>
      <c r="F105" s="293">
        <v>370</v>
      </c>
      <c r="G105" s="293">
        <v>15</v>
      </c>
      <c r="H105" s="293">
        <f t="shared" ref="H105:H106" si="24">F105-G105</f>
        <v>355</v>
      </c>
      <c r="I105" s="319">
        <v>12</v>
      </c>
      <c r="J105" s="113"/>
      <c r="K105" s="322">
        <v>8</v>
      </c>
      <c r="L105" s="324">
        <f t="shared" si="18"/>
        <v>4</v>
      </c>
      <c r="M105" s="325">
        <f t="shared" si="19"/>
        <v>1420</v>
      </c>
      <c r="N105" s="112"/>
      <c r="O105" s="223">
        <f t="shared" si="20"/>
        <v>0</v>
      </c>
      <c r="P105" s="223"/>
      <c r="Q105" s="109">
        <f t="shared" si="21"/>
        <v>4260</v>
      </c>
      <c r="R105" s="109">
        <f t="shared" si="22"/>
        <v>2840</v>
      </c>
      <c r="S105" s="116">
        <f t="shared" si="23"/>
        <v>1420</v>
      </c>
      <c r="T105" s="253"/>
    </row>
    <row r="106" spans="2:20" ht="22.8" x14ac:dyDescent="0.65">
      <c r="B106" s="221" t="s">
        <v>124</v>
      </c>
      <c r="C106" s="108" t="s">
        <v>134</v>
      </c>
      <c r="D106" s="293">
        <v>60</v>
      </c>
      <c r="E106" s="365">
        <v>139.44999999999999</v>
      </c>
      <c r="F106" s="293">
        <v>147</v>
      </c>
      <c r="G106" s="293">
        <v>4</v>
      </c>
      <c r="H106" s="293">
        <f t="shared" si="24"/>
        <v>143</v>
      </c>
      <c r="I106" s="319"/>
      <c r="J106" s="113"/>
      <c r="K106" s="322"/>
      <c r="L106" s="324">
        <f t="shared" si="18"/>
        <v>0</v>
      </c>
      <c r="M106" s="325">
        <f t="shared" si="19"/>
        <v>0</v>
      </c>
      <c r="N106" s="112"/>
      <c r="O106" s="223">
        <f t="shared" si="20"/>
        <v>0</v>
      </c>
      <c r="P106" s="223"/>
      <c r="Q106" s="109">
        <f t="shared" si="21"/>
        <v>0</v>
      </c>
      <c r="R106" s="109">
        <f t="shared" si="22"/>
        <v>0</v>
      </c>
      <c r="S106" s="116">
        <f t="shared" si="23"/>
        <v>0</v>
      </c>
      <c r="T106" s="218"/>
    </row>
    <row r="107" spans="2:20" ht="22.8" x14ac:dyDescent="0.65">
      <c r="B107" s="221" t="s">
        <v>124</v>
      </c>
      <c r="C107" s="108" t="s">
        <v>135</v>
      </c>
      <c r="D107" s="293">
        <v>480</v>
      </c>
      <c r="E107" s="294">
        <v>7.8</v>
      </c>
      <c r="F107" s="293">
        <v>8.25</v>
      </c>
      <c r="G107" s="293">
        <v>0</v>
      </c>
      <c r="H107" s="293">
        <f>F107-G107</f>
        <v>8.25</v>
      </c>
      <c r="I107" s="319"/>
      <c r="J107" s="113"/>
      <c r="K107" s="322"/>
      <c r="L107" s="324">
        <f t="shared" si="18"/>
        <v>0</v>
      </c>
      <c r="M107" s="325">
        <f t="shared" si="19"/>
        <v>0</v>
      </c>
      <c r="N107" s="112"/>
      <c r="O107" s="223">
        <f t="shared" si="20"/>
        <v>0</v>
      </c>
      <c r="P107" s="223"/>
      <c r="Q107" s="109">
        <f t="shared" si="21"/>
        <v>0</v>
      </c>
      <c r="R107" s="109">
        <f t="shared" si="22"/>
        <v>0</v>
      </c>
      <c r="S107" s="116">
        <f t="shared" si="23"/>
        <v>0</v>
      </c>
      <c r="T107" s="106"/>
    </row>
    <row r="108" spans="2:20" ht="22.8" x14ac:dyDescent="0.65">
      <c r="B108" s="221" t="s">
        <v>124</v>
      </c>
      <c r="C108" s="108" t="s">
        <v>136</v>
      </c>
      <c r="D108" s="293">
        <v>24</v>
      </c>
      <c r="E108" s="294">
        <v>437.79</v>
      </c>
      <c r="F108" s="293">
        <v>459</v>
      </c>
      <c r="G108" s="293">
        <v>10</v>
      </c>
      <c r="H108" s="293">
        <f t="shared" ref="H108:H111" si="25">SUM(F108-G108)</f>
        <v>449</v>
      </c>
      <c r="I108" s="319"/>
      <c r="J108" s="113"/>
      <c r="K108" s="322"/>
      <c r="L108" s="324">
        <f t="shared" si="18"/>
        <v>0</v>
      </c>
      <c r="M108" s="325">
        <f t="shared" si="19"/>
        <v>0</v>
      </c>
      <c r="N108" s="112"/>
      <c r="O108" s="223">
        <f t="shared" si="20"/>
        <v>0</v>
      </c>
      <c r="P108" s="223"/>
      <c r="Q108" s="109">
        <f t="shared" si="21"/>
        <v>0</v>
      </c>
      <c r="R108" s="109">
        <f t="shared" si="22"/>
        <v>0</v>
      </c>
      <c r="S108" s="116">
        <f t="shared" si="23"/>
        <v>0</v>
      </c>
      <c r="T108" s="106"/>
    </row>
    <row r="109" spans="2:20" ht="22.8" x14ac:dyDescent="0.65">
      <c r="B109" s="221" t="s">
        <v>137</v>
      </c>
      <c r="C109" s="108" t="s">
        <v>138</v>
      </c>
      <c r="D109" s="293">
        <v>24</v>
      </c>
      <c r="E109" s="294">
        <v>365.8</v>
      </c>
      <c r="F109" s="293">
        <v>375</v>
      </c>
      <c r="G109" s="293"/>
      <c r="H109" s="293">
        <f t="shared" si="25"/>
        <v>375</v>
      </c>
      <c r="I109" s="319">
        <v>2</v>
      </c>
      <c r="J109" s="113"/>
      <c r="K109" s="322"/>
      <c r="L109" s="324">
        <f t="shared" si="18"/>
        <v>2</v>
      </c>
      <c r="M109" s="325">
        <f t="shared" si="19"/>
        <v>750</v>
      </c>
      <c r="N109" s="112"/>
      <c r="O109" s="223">
        <f t="shared" si="20"/>
        <v>0</v>
      </c>
      <c r="P109" s="223"/>
      <c r="Q109" s="109">
        <f t="shared" si="21"/>
        <v>750</v>
      </c>
      <c r="R109" s="109">
        <f t="shared" si="22"/>
        <v>0</v>
      </c>
      <c r="S109" s="116">
        <f t="shared" si="23"/>
        <v>750</v>
      </c>
      <c r="T109" s="106"/>
    </row>
    <row r="110" spans="2:20" ht="22.8" x14ac:dyDescent="0.65">
      <c r="B110" s="221" t="s">
        <v>139</v>
      </c>
      <c r="C110" s="108" t="s">
        <v>140</v>
      </c>
      <c r="D110" s="293">
        <v>144</v>
      </c>
      <c r="E110" s="294">
        <v>7.6</v>
      </c>
      <c r="F110" s="295">
        <v>8.8000000000000007</v>
      </c>
      <c r="G110" s="293">
        <v>0.8</v>
      </c>
      <c r="H110" s="295">
        <f t="shared" si="25"/>
        <v>8</v>
      </c>
      <c r="I110" s="319"/>
      <c r="J110" s="113"/>
      <c r="K110" s="322"/>
      <c r="L110" s="324">
        <f t="shared" si="18"/>
        <v>0</v>
      </c>
      <c r="M110" s="325">
        <f t="shared" si="19"/>
        <v>0</v>
      </c>
      <c r="N110" s="112"/>
      <c r="O110" s="223">
        <f t="shared" si="20"/>
        <v>0</v>
      </c>
      <c r="P110" s="223"/>
      <c r="Q110" s="109">
        <f t="shared" si="21"/>
        <v>0</v>
      </c>
      <c r="R110" s="109">
        <f t="shared" si="22"/>
        <v>0</v>
      </c>
      <c r="S110" s="116">
        <f t="shared" si="23"/>
        <v>0</v>
      </c>
      <c r="T110" s="106"/>
    </row>
    <row r="111" spans="2:20" ht="22.8" x14ac:dyDescent="0.65">
      <c r="B111" s="221" t="s">
        <v>139</v>
      </c>
      <c r="C111" s="224" t="s">
        <v>141</v>
      </c>
      <c r="D111" s="296">
        <v>24</v>
      </c>
      <c r="E111" s="297">
        <v>38.08</v>
      </c>
      <c r="F111" s="298">
        <v>40</v>
      </c>
      <c r="G111" s="299"/>
      <c r="H111" s="299">
        <f t="shared" si="25"/>
        <v>40</v>
      </c>
      <c r="I111" s="319">
        <v>12</v>
      </c>
      <c r="J111" s="113"/>
      <c r="K111" s="322"/>
      <c r="L111" s="324">
        <f t="shared" si="18"/>
        <v>12</v>
      </c>
      <c r="M111" s="325">
        <f t="shared" si="19"/>
        <v>480</v>
      </c>
      <c r="N111" s="112"/>
      <c r="O111" s="223">
        <f t="shared" si="20"/>
        <v>0</v>
      </c>
      <c r="P111" s="223"/>
      <c r="Q111" s="109">
        <f t="shared" si="21"/>
        <v>480</v>
      </c>
      <c r="R111" s="109">
        <f t="shared" si="22"/>
        <v>0</v>
      </c>
      <c r="S111" s="116">
        <f t="shared" si="23"/>
        <v>480</v>
      </c>
      <c r="T111" s="106"/>
    </row>
    <row r="112" spans="2:20" ht="22.8" x14ac:dyDescent="0.65">
      <c r="B112" s="221" t="s">
        <v>139</v>
      </c>
      <c r="C112" s="108" t="s">
        <v>142</v>
      </c>
      <c r="D112" s="293">
        <v>12</v>
      </c>
      <c r="E112" s="294">
        <v>125</v>
      </c>
      <c r="F112" s="293">
        <v>146</v>
      </c>
      <c r="G112" s="293">
        <v>14</v>
      </c>
      <c r="H112" s="293">
        <f>SUM(F112-G112)</f>
        <v>132</v>
      </c>
      <c r="I112" s="319"/>
      <c r="J112" s="113"/>
      <c r="K112" s="322"/>
      <c r="L112" s="324">
        <f t="shared" si="18"/>
        <v>0</v>
      </c>
      <c r="M112" s="325">
        <f t="shared" si="19"/>
        <v>0</v>
      </c>
      <c r="N112" s="112"/>
      <c r="O112" s="223">
        <f t="shared" si="20"/>
        <v>0</v>
      </c>
      <c r="P112" s="223"/>
      <c r="Q112" s="109">
        <f t="shared" si="21"/>
        <v>0</v>
      </c>
      <c r="R112" s="109">
        <f t="shared" si="22"/>
        <v>0</v>
      </c>
      <c r="S112" s="116">
        <f t="shared" si="23"/>
        <v>0</v>
      </c>
      <c r="T112" s="106"/>
    </row>
    <row r="113" spans="2:20" ht="22.8" x14ac:dyDescent="0.65">
      <c r="B113" s="221" t="s">
        <v>139</v>
      </c>
      <c r="C113" s="108" t="s">
        <v>143</v>
      </c>
      <c r="D113" s="293">
        <v>8</v>
      </c>
      <c r="E113" s="294">
        <v>194.38</v>
      </c>
      <c r="F113" s="293">
        <v>223</v>
      </c>
      <c r="G113" s="293">
        <v>18</v>
      </c>
      <c r="H113" s="293">
        <f t="shared" ref="H113:H116" si="26">SUM(F113-G113)</f>
        <v>205</v>
      </c>
      <c r="I113" s="319"/>
      <c r="J113" s="113"/>
      <c r="K113" s="322"/>
      <c r="L113" s="324">
        <f t="shared" si="18"/>
        <v>0</v>
      </c>
      <c r="M113" s="325">
        <f t="shared" si="19"/>
        <v>0</v>
      </c>
      <c r="N113" s="112"/>
      <c r="O113" s="223">
        <f t="shared" si="20"/>
        <v>0</v>
      </c>
      <c r="P113" s="223"/>
      <c r="Q113" s="109">
        <f t="shared" si="21"/>
        <v>0</v>
      </c>
      <c r="R113" s="109">
        <f t="shared" si="22"/>
        <v>0</v>
      </c>
      <c r="S113" s="116">
        <f t="shared" si="23"/>
        <v>0</v>
      </c>
      <c r="T113" s="106"/>
    </row>
    <row r="114" spans="2:20" ht="22.8" x14ac:dyDescent="0.65">
      <c r="B114" s="221" t="s">
        <v>139</v>
      </c>
      <c r="C114" s="108" t="s">
        <v>144</v>
      </c>
      <c r="D114" s="293">
        <v>24</v>
      </c>
      <c r="E114" s="365">
        <v>84.71</v>
      </c>
      <c r="F114" s="293">
        <v>90</v>
      </c>
      <c r="G114" s="295">
        <v>1</v>
      </c>
      <c r="H114" s="293">
        <f t="shared" si="26"/>
        <v>89</v>
      </c>
      <c r="I114" s="319"/>
      <c r="J114" s="113"/>
      <c r="K114" s="322"/>
      <c r="L114" s="324">
        <f t="shared" si="18"/>
        <v>0</v>
      </c>
      <c r="M114" s="325">
        <f t="shared" si="19"/>
        <v>0</v>
      </c>
      <c r="N114" s="112"/>
      <c r="O114" s="223">
        <f t="shared" si="20"/>
        <v>0</v>
      </c>
      <c r="P114" s="223"/>
      <c r="Q114" s="109">
        <f t="shared" si="21"/>
        <v>0</v>
      </c>
      <c r="R114" s="109">
        <f t="shared" si="22"/>
        <v>0</v>
      </c>
      <c r="S114" s="116">
        <f t="shared" si="23"/>
        <v>0</v>
      </c>
      <c r="T114" s="106"/>
    </row>
    <row r="115" spans="2:20" ht="22.8" x14ac:dyDescent="0.65">
      <c r="B115" s="221" t="s">
        <v>139</v>
      </c>
      <c r="C115" s="108" t="s">
        <v>145</v>
      </c>
      <c r="D115" s="293">
        <v>12</v>
      </c>
      <c r="E115" s="294">
        <v>173.33</v>
      </c>
      <c r="F115" s="367">
        <v>182</v>
      </c>
      <c r="G115" s="293">
        <v>15</v>
      </c>
      <c r="H115" s="293">
        <f t="shared" si="26"/>
        <v>167</v>
      </c>
      <c r="I115" s="319">
        <v>3</v>
      </c>
      <c r="J115" s="113"/>
      <c r="K115" s="322"/>
      <c r="L115" s="324">
        <f t="shared" si="18"/>
        <v>3</v>
      </c>
      <c r="M115" s="325">
        <f t="shared" si="19"/>
        <v>501</v>
      </c>
      <c r="N115" s="112"/>
      <c r="O115" s="223">
        <f t="shared" si="20"/>
        <v>0</v>
      </c>
      <c r="P115" s="223"/>
      <c r="Q115" s="109">
        <f t="shared" si="21"/>
        <v>501</v>
      </c>
      <c r="R115" s="109">
        <f t="shared" si="22"/>
        <v>0</v>
      </c>
      <c r="S115" s="116">
        <f t="shared" si="23"/>
        <v>501</v>
      </c>
      <c r="T115" s="106"/>
    </row>
    <row r="116" spans="2:20" ht="22.8" x14ac:dyDescent="0.65">
      <c r="B116" s="221" t="s">
        <v>139</v>
      </c>
      <c r="C116" s="108" t="s">
        <v>146</v>
      </c>
      <c r="D116" s="293">
        <v>12</v>
      </c>
      <c r="E116" s="294">
        <v>200</v>
      </c>
      <c r="F116" s="293">
        <v>210</v>
      </c>
      <c r="G116" s="293"/>
      <c r="H116" s="293">
        <f t="shared" si="26"/>
        <v>210</v>
      </c>
      <c r="I116" s="319"/>
      <c r="J116" s="113"/>
      <c r="K116" s="322"/>
      <c r="L116" s="324">
        <f t="shared" si="18"/>
        <v>0</v>
      </c>
      <c r="M116" s="325">
        <f t="shared" si="19"/>
        <v>0</v>
      </c>
      <c r="N116" s="112"/>
      <c r="O116" s="223">
        <f t="shared" si="20"/>
        <v>0</v>
      </c>
      <c r="P116" s="223"/>
      <c r="Q116" s="109">
        <f t="shared" si="21"/>
        <v>0</v>
      </c>
      <c r="R116" s="109">
        <f t="shared" si="22"/>
        <v>0</v>
      </c>
      <c r="S116" s="116">
        <f t="shared" si="23"/>
        <v>0</v>
      </c>
      <c r="T116" s="106"/>
    </row>
    <row r="117" spans="2:20" ht="22.8" x14ac:dyDescent="0.65">
      <c r="B117" s="221" t="s">
        <v>139</v>
      </c>
      <c r="C117" s="258" t="s">
        <v>147</v>
      </c>
      <c r="D117" s="293">
        <v>24</v>
      </c>
      <c r="E117" s="365">
        <v>18.920000000000002</v>
      </c>
      <c r="F117" s="293">
        <v>22</v>
      </c>
      <c r="G117" s="293">
        <v>2</v>
      </c>
      <c r="H117" s="293">
        <f>SUM(F117-G117)</f>
        <v>20</v>
      </c>
      <c r="I117" s="319"/>
      <c r="J117" s="113"/>
      <c r="K117" s="322"/>
      <c r="L117" s="324">
        <f t="shared" si="18"/>
        <v>0</v>
      </c>
      <c r="M117" s="325">
        <f t="shared" si="19"/>
        <v>0</v>
      </c>
      <c r="N117" s="112"/>
      <c r="O117" s="223">
        <f t="shared" si="20"/>
        <v>0</v>
      </c>
      <c r="P117" s="223"/>
      <c r="Q117" s="109">
        <f t="shared" si="21"/>
        <v>0</v>
      </c>
      <c r="R117" s="109">
        <f t="shared" si="22"/>
        <v>0</v>
      </c>
      <c r="S117" s="116">
        <f t="shared" si="23"/>
        <v>0</v>
      </c>
      <c r="T117" s="106"/>
    </row>
    <row r="118" spans="2:20" ht="22.8" x14ac:dyDescent="0.65">
      <c r="B118" s="221" t="s">
        <v>139</v>
      </c>
      <c r="C118" s="258" t="s">
        <v>148</v>
      </c>
      <c r="D118" s="293">
        <v>24</v>
      </c>
      <c r="E118" s="365">
        <v>37.92</v>
      </c>
      <c r="F118" s="293">
        <v>43</v>
      </c>
      <c r="G118" s="293">
        <v>3</v>
      </c>
      <c r="H118" s="293">
        <f>SUM(F118-G118)</f>
        <v>40</v>
      </c>
      <c r="I118" s="319">
        <v>24</v>
      </c>
      <c r="J118" s="113"/>
      <c r="K118" s="322"/>
      <c r="L118" s="324">
        <f t="shared" si="18"/>
        <v>24</v>
      </c>
      <c r="M118" s="325">
        <f t="shared" si="19"/>
        <v>960</v>
      </c>
      <c r="N118" s="112"/>
      <c r="O118" s="223">
        <f t="shared" si="20"/>
        <v>0</v>
      </c>
      <c r="P118" s="223"/>
      <c r="Q118" s="109">
        <f t="shared" si="21"/>
        <v>960</v>
      </c>
      <c r="R118" s="109">
        <f t="shared" si="22"/>
        <v>0</v>
      </c>
      <c r="S118" s="116">
        <f t="shared" si="23"/>
        <v>960</v>
      </c>
      <c r="T118" s="106"/>
    </row>
    <row r="119" spans="2:20" ht="22.8" x14ac:dyDescent="0.65">
      <c r="B119" s="221" t="s">
        <v>139</v>
      </c>
      <c r="C119" s="258" t="s">
        <v>213</v>
      </c>
      <c r="D119" s="293">
        <v>24</v>
      </c>
      <c r="E119" s="294">
        <v>16.420000000000002</v>
      </c>
      <c r="F119" s="293">
        <v>17.25</v>
      </c>
      <c r="G119" s="293"/>
      <c r="H119" s="293">
        <v>17.25</v>
      </c>
      <c r="I119" s="319"/>
      <c r="J119" s="113"/>
      <c r="K119" s="322"/>
      <c r="L119" s="324">
        <f t="shared" si="18"/>
        <v>0</v>
      </c>
      <c r="M119" s="325">
        <f t="shared" si="19"/>
        <v>0</v>
      </c>
      <c r="N119" s="112"/>
      <c r="O119" s="223">
        <f t="shared" si="20"/>
        <v>0</v>
      </c>
      <c r="P119" s="223"/>
      <c r="Q119" s="109">
        <f t="shared" si="21"/>
        <v>0</v>
      </c>
      <c r="R119" s="109">
        <f t="shared" si="22"/>
        <v>0</v>
      </c>
      <c r="S119" s="116">
        <f t="shared" si="23"/>
        <v>0</v>
      </c>
      <c r="T119" s="106"/>
    </row>
    <row r="120" spans="2:20" ht="22.8" x14ac:dyDescent="0.65">
      <c r="B120" s="221" t="s">
        <v>139</v>
      </c>
      <c r="C120" s="258" t="s">
        <v>149</v>
      </c>
      <c r="D120" s="293">
        <v>24</v>
      </c>
      <c r="E120" s="294">
        <v>47.58</v>
      </c>
      <c r="F120" s="293">
        <v>50</v>
      </c>
      <c r="G120" s="293"/>
      <c r="H120" s="295">
        <f>SUM(F120-G120)</f>
        <v>50</v>
      </c>
      <c r="I120" s="319"/>
      <c r="J120" s="113"/>
      <c r="K120" s="322"/>
      <c r="L120" s="324">
        <f t="shared" si="18"/>
        <v>0</v>
      </c>
      <c r="M120" s="325">
        <f t="shared" si="19"/>
        <v>0</v>
      </c>
      <c r="N120" s="112"/>
      <c r="O120" s="223">
        <f t="shared" si="20"/>
        <v>0</v>
      </c>
      <c r="P120" s="223"/>
      <c r="Q120" s="109">
        <f t="shared" si="21"/>
        <v>0</v>
      </c>
      <c r="R120" s="109">
        <f t="shared" si="22"/>
        <v>0</v>
      </c>
      <c r="S120" s="116">
        <f t="shared" si="23"/>
        <v>0</v>
      </c>
      <c r="T120" s="106"/>
    </row>
    <row r="121" spans="2:20" ht="22.8" x14ac:dyDescent="0.65">
      <c r="B121" s="221" t="s">
        <v>150</v>
      </c>
      <c r="C121" s="259" t="s">
        <v>151</v>
      </c>
      <c r="D121" s="300"/>
      <c r="E121" s="301"/>
      <c r="F121" s="302"/>
      <c r="G121" s="302"/>
      <c r="H121" s="293"/>
      <c r="I121" s="319"/>
      <c r="J121" s="113"/>
      <c r="K121" s="322"/>
      <c r="L121" s="324">
        <f t="shared" si="18"/>
        <v>0</v>
      </c>
      <c r="M121" s="325">
        <f t="shared" si="19"/>
        <v>0</v>
      </c>
      <c r="N121" s="112"/>
      <c r="O121" s="223">
        <f t="shared" si="20"/>
        <v>0</v>
      </c>
      <c r="P121" s="223"/>
      <c r="Q121" s="109">
        <f t="shared" si="21"/>
        <v>0</v>
      </c>
      <c r="R121" s="109">
        <f t="shared" si="22"/>
        <v>0</v>
      </c>
      <c r="S121" s="116">
        <f t="shared" si="23"/>
        <v>0</v>
      </c>
      <c r="T121" s="106"/>
    </row>
    <row r="122" spans="2:20" ht="22.8" x14ac:dyDescent="0.65">
      <c r="B122" s="221" t="s">
        <v>150</v>
      </c>
      <c r="C122" s="111" t="s">
        <v>152</v>
      </c>
      <c r="D122" s="293">
        <v>96</v>
      </c>
      <c r="E122" s="294">
        <v>15.23</v>
      </c>
      <c r="F122" s="295">
        <v>16.13</v>
      </c>
      <c r="G122" s="293">
        <v>0.13</v>
      </c>
      <c r="H122" s="295">
        <f t="shared" ref="H122:H144" si="27">SUM(F122-G122)</f>
        <v>15.999999999999998</v>
      </c>
      <c r="I122" s="319">
        <v>120</v>
      </c>
      <c r="J122" s="113"/>
      <c r="K122" s="322">
        <v>24</v>
      </c>
      <c r="L122" s="324">
        <f t="shared" si="18"/>
        <v>96</v>
      </c>
      <c r="M122" s="325">
        <f t="shared" si="19"/>
        <v>1535.9999999999998</v>
      </c>
      <c r="N122" s="112"/>
      <c r="O122" s="223">
        <f t="shared" si="20"/>
        <v>0</v>
      </c>
      <c r="P122" s="223"/>
      <c r="Q122" s="109">
        <f t="shared" si="21"/>
        <v>1919.9999999999998</v>
      </c>
      <c r="R122" s="109">
        <f t="shared" si="22"/>
        <v>383.99999999999994</v>
      </c>
      <c r="S122" s="116">
        <f t="shared" si="23"/>
        <v>1535.9999999999998</v>
      </c>
      <c r="T122" s="106"/>
    </row>
    <row r="123" spans="2:20" ht="22.8" x14ac:dyDescent="0.65">
      <c r="B123" s="221" t="s">
        <v>150</v>
      </c>
      <c r="C123" s="111" t="s">
        <v>153</v>
      </c>
      <c r="D123" s="293">
        <v>96</v>
      </c>
      <c r="E123" s="294">
        <v>15.23</v>
      </c>
      <c r="F123" s="295">
        <v>16.13</v>
      </c>
      <c r="G123" s="293">
        <v>0.13</v>
      </c>
      <c r="H123" s="295">
        <f t="shared" si="27"/>
        <v>15.999999999999998</v>
      </c>
      <c r="I123" s="319"/>
      <c r="J123" s="113"/>
      <c r="K123" s="322"/>
      <c r="L123" s="324">
        <f t="shared" si="18"/>
        <v>0</v>
      </c>
      <c r="M123" s="325">
        <f t="shared" si="19"/>
        <v>0</v>
      </c>
      <c r="N123" s="112"/>
      <c r="O123" s="223">
        <f t="shared" si="20"/>
        <v>0</v>
      </c>
      <c r="P123" s="223"/>
      <c r="Q123" s="109">
        <f t="shared" si="21"/>
        <v>0</v>
      </c>
      <c r="R123" s="109">
        <f t="shared" si="22"/>
        <v>0</v>
      </c>
      <c r="S123" s="116">
        <f t="shared" si="23"/>
        <v>0</v>
      </c>
      <c r="T123" s="106"/>
    </row>
    <row r="124" spans="2:20" ht="22.8" x14ac:dyDescent="0.65">
      <c r="B124" s="221" t="s">
        <v>150</v>
      </c>
      <c r="C124" s="108" t="s">
        <v>154</v>
      </c>
      <c r="D124" s="293">
        <v>96</v>
      </c>
      <c r="E124" s="294">
        <v>15.23</v>
      </c>
      <c r="F124" s="295">
        <v>16.13</v>
      </c>
      <c r="G124" s="293">
        <v>0.13</v>
      </c>
      <c r="H124" s="295">
        <f t="shared" si="27"/>
        <v>15.999999999999998</v>
      </c>
      <c r="I124" s="319"/>
      <c r="J124" s="113"/>
      <c r="K124" s="322"/>
      <c r="L124" s="324">
        <f t="shared" si="18"/>
        <v>0</v>
      </c>
      <c r="M124" s="325">
        <f t="shared" si="19"/>
        <v>0</v>
      </c>
      <c r="N124" s="112"/>
      <c r="O124" s="223">
        <f t="shared" si="20"/>
        <v>0</v>
      </c>
      <c r="P124" s="223"/>
      <c r="Q124" s="109">
        <f t="shared" si="21"/>
        <v>0</v>
      </c>
      <c r="R124" s="109">
        <f t="shared" si="22"/>
        <v>0</v>
      </c>
      <c r="S124" s="116">
        <f t="shared" si="23"/>
        <v>0</v>
      </c>
      <c r="T124" s="106"/>
    </row>
    <row r="125" spans="2:20" ht="22.8" x14ac:dyDescent="0.65">
      <c r="B125" s="221" t="s">
        <v>150</v>
      </c>
      <c r="C125" s="111" t="s">
        <v>155</v>
      </c>
      <c r="D125" s="303">
        <v>96</v>
      </c>
      <c r="E125" s="294">
        <v>15.23</v>
      </c>
      <c r="F125" s="304">
        <v>16.13</v>
      </c>
      <c r="G125" s="303">
        <v>0.13</v>
      </c>
      <c r="H125" s="304">
        <f t="shared" si="27"/>
        <v>15.999999999999998</v>
      </c>
      <c r="I125" s="319"/>
      <c r="J125" s="113"/>
      <c r="K125" s="322"/>
      <c r="L125" s="324">
        <f t="shared" si="18"/>
        <v>0</v>
      </c>
      <c r="M125" s="325">
        <f t="shared" si="19"/>
        <v>0</v>
      </c>
      <c r="N125" s="112"/>
      <c r="O125" s="223">
        <f t="shared" si="20"/>
        <v>0</v>
      </c>
      <c r="P125" s="223"/>
      <c r="Q125" s="109">
        <f t="shared" si="21"/>
        <v>0</v>
      </c>
      <c r="R125" s="109">
        <f t="shared" si="22"/>
        <v>0</v>
      </c>
      <c r="S125" s="116">
        <f t="shared" si="23"/>
        <v>0</v>
      </c>
      <c r="T125" s="106"/>
    </row>
    <row r="126" spans="2:20" ht="22.8" x14ac:dyDescent="0.65">
      <c r="B126" s="221" t="s">
        <v>150</v>
      </c>
      <c r="C126" s="111" t="s">
        <v>156</v>
      </c>
      <c r="D126" s="303">
        <v>96</v>
      </c>
      <c r="E126" s="294">
        <v>15.23</v>
      </c>
      <c r="F126" s="304">
        <v>16.13</v>
      </c>
      <c r="G126" s="303">
        <v>0.13</v>
      </c>
      <c r="H126" s="304">
        <f t="shared" si="27"/>
        <v>15.999999999999998</v>
      </c>
      <c r="I126" s="319">
        <v>48</v>
      </c>
      <c r="J126" s="113"/>
      <c r="K126" s="322">
        <v>24</v>
      </c>
      <c r="L126" s="324">
        <f t="shared" si="18"/>
        <v>24</v>
      </c>
      <c r="M126" s="325">
        <f t="shared" si="19"/>
        <v>383.99999999999994</v>
      </c>
      <c r="N126" s="112"/>
      <c r="O126" s="223">
        <f t="shared" si="20"/>
        <v>0</v>
      </c>
      <c r="P126" s="223"/>
      <c r="Q126" s="109">
        <f t="shared" si="21"/>
        <v>767.99999999999989</v>
      </c>
      <c r="R126" s="109">
        <f t="shared" si="22"/>
        <v>383.99999999999994</v>
      </c>
      <c r="S126" s="116">
        <f t="shared" si="23"/>
        <v>383.99999999999994</v>
      </c>
      <c r="T126" s="106"/>
    </row>
    <row r="127" spans="2:20" ht="22.8" x14ac:dyDescent="0.65">
      <c r="B127" s="221" t="s">
        <v>150</v>
      </c>
      <c r="C127" s="111" t="s">
        <v>157</v>
      </c>
      <c r="D127" s="303">
        <v>96</v>
      </c>
      <c r="E127" s="365">
        <v>15.23</v>
      </c>
      <c r="F127" s="303">
        <v>16.13</v>
      </c>
      <c r="G127" s="303">
        <v>0.13</v>
      </c>
      <c r="H127" s="304">
        <f t="shared" si="27"/>
        <v>15.999999999999998</v>
      </c>
      <c r="I127" s="319">
        <v>576</v>
      </c>
      <c r="J127" s="113"/>
      <c r="K127" s="322">
        <v>192</v>
      </c>
      <c r="L127" s="324">
        <f t="shared" si="18"/>
        <v>384</v>
      </c>
      <c r="M127" s="325">
        <f t="shared" si="19"/>
        <v>6143.9999999999991</v>
      </c>
      <c r="N127" s="112"/>
      <c r="O127" s="223">
        <f t="shared" si="20"/>
        <v>0</v>
      </c>
      <c r="P127" s="223"/>
      <c r="Q127" s="109">
        <f t="shared" si="21"/>
        <v>9215.9999999999982</v>
      </c>
      <c r="R127" s="109">
        <f t="shared" si="22"/>
        <v>3071.9999999999995</v>
      </c>
      <c r="S127" s="116">
        <f t="shared" si="23"/>
        <v>6143.9999999999991</v>
      </c>
      <c r="T127" s="106"/>
    </row>
    <row r="128" spans="2:20" ht="22.8" x14ac:dyDescent="0.65">
      <c r="B128" s="221" t="s">
        <v>150</v>
      </c>
      <c r="C128" s="111" t="s">
        <v>158</v>
      </c>
      <c r="D128" s="303">
        <v>96</v>
      </c>
      <c r="E128" s="305">
        <v>7.61</v>
      </c>
      <c r="F128" s="303">
        <v>8</v>
      </c>
      <c r="G128" s="303"/>
      <c r="H128" s="306">
        <f t="shared" si="27"/>
        <v>8</v>
      </c>
      <c r="I128" s="319"/>
      <c r="J128" s="113"/>
      <c r="K128" s="322"/>
      <c r="L128" s="324">
        <f t="shared" si="18"/>
        <v>0</v>
      </c>
      <c r="M128" s="325">
        <f t="shared" si="19"/>
        <v>0</v>
      </c>
      <c r="N128" s="112"/>
      <c r="O128" s="223">
        <f t="shared" si="20"/>
        <v>0</v>
      </c>
      <c r="P128" s="223"/>
      <c r="Q128" s="109">
        <f t="shared" si="21"/>
        <v>0</v>
      </c>
      <c r="R128" s="109">
        <f t="shared" si="22"/>
        <v>0</v>
      </c>
      <c r="S128" s="116">
        <f t="shared" si="23"/>
        <v>0</v>
      </c>
      <c r="T128" s="106"/>
    </row>
    <row r="129" spans="2:20" ht="22.8" x14ac:dyDescent="0.65">
      <c r="B129" s="221" t="s">
        <v>150</v>
      </c>
      <c r="C129" s="111" t="s">
        <v>159</v>
      </c>
      <c r="D129" s="303">
        <v>96</v>
      </c>
      <c r="E129" s="305">
        <v>7.61</v>
      </c>
      <c r="F129" s="306">
        <v>8</v>
      </c>
      <c r="G129" s="304"/>
      <c r="H129" s="307">
        <f t="shared" si="27"/>
        <v>8</v>
      </c>
      <c r="I129" s="319"/>
      <c r="J129" s="113"/>
      <c r="K129" s="322"/>
      <c r="L129" s="324">
        <f t="shared" si="18"/>
        <v>0</v>
      </c>
      <c r="M129" s="325">
        <f t="shared" si="19"/>
        <v>0</v>
      </c>
      <c r="N129" s="112"/>
      <c r="O129" s="223">
        <f t="shared" si="20"/>
        <v>0</v>
      </c>
      <c r="P129" s="223"/>
      <c r="Q129" s="109">
        <f t="shared" si="21"/>
        <v>0</v>
      </c>
      <c r="R129" s="109">
        <f t="shared" si="22"/>
        <v>0</v>
      </c>
      <c r="S129" s="116">
        <f t="shared" si="23"/>
        <v>0</v>
      </c>
      <c r="T129" s="106"/>
    </row>
    <row r="130" spans="2:20" ht="22.8" x14ac:dyDescent="0.65">
      <c r="B130" s="221" t="s">
        <v>160</v>
      </c>
      <c r="C130" s="257" t="s">
        <v>161</v>
      </c>
      <c r="D130" s="303">
        <v>8</v>
      </c>
      <c r="E130" s="305">
        <v>3.79</v>
      </c>
      <c r="F130" s="303">
        <v>4.17</v>
      </c>
      <c r="G130" s="303"/>
      <c r="H130" s="306">
        <f t="shared" si="27"/>
        <v>4.17</v>
      </c>
      <c r="I130" s="319"/>
      <c r="J130" s="113"/>
      <c r="K130" s="322"/>
      <c r="L130" s="324">
        <f t="shared" si="18"/>
        <v>0</v>
      </c>
      <c r="M130" s="325">
        <f t="shared" si="19"/>
        <v>0</v>
      </c>
      <c r="N130" s="112"/>
      <c r="O130" s="223">
        <f t="shared" si="20"/>
        <v>0</v>
      </c>
      <c r="P130" s="223"/>
      <c r="Q130" s="109">
        <f t="shared" si="21"/>
        <v>0</v>
      </c>
      <c r="R130" s="109">
        <f t="shared" si="22"/>
        <v>0</v>
      </c>
      <c r="S130" s="116">
        <f t="shared" si="23"/>
        <v>0</v>
      </c>
      <c r="T130" s="106"/>
    </row>
    <row r="131" spans="2:20" ht="22.8" x14ac:dyDescent="0.65">
      <c r="B131" s="221" t="s">
        <v>160</v>
      </c>
      <c r="C131" s="257" t="s">
        <v>162</v>
      </c>
      <c r="D131" s="303">
        <v>72</v>
      </c>
      <c r="E131" s="305">
        <v>3.79</v>
      </c>
      <c r="F131" s="303">
        <v>4.17</v>
      </c>
      <c r="G131" s="303">
        <v>0.17</v>
      </c>
      <c r="H131" s="306">
        <f t="shared" si="27"/>
        <v>4</v>
      </c>
      <c r="I131" s="320"/>
      <c r="J131" s="113"/>
      <c r="K131" s="322"/>
      <c r="L131" s="324">
        <f t="shared" si="18"/>
        <v>0</v>
      </c>
      <c r="M131" s="325">
        <f t="shared" si="19"/>
        <v>0</v>
      </c>
      <c r="N131" s="112"/>
      <c r="O131" s="223">
        <f t="shared" si="20"/>
        <v>0</v>
      </c>
      <c r="P131" s="223"/>
      <c r="Q131" s="109">
        <f t="shared" si="21"/>
        <v>0</v>
      </c>
      <c r="R131" s="109">
        <f t="shared" si="22"/>
        <v>0</v>
      </c>
      <c r="S131" s="116">
        <f t="shared" si="23"/>
        <v>0</v>
      </c>
      <c r="T131" s="106"/>
    </row>
    <row r="132" spans="2:20" ht="22.8" x14ac:dyDescent="0.65">
      <c r="B132" s="221" t="s">
        <v>160</v>
      </c>
      <c r="C132" s="257" t="s">
        <v>163</v>
      </c>
      <c r="D132" s="303">
        <v>72</v>
      </c>
      <c r="E132" s="305">
        <v>3.79</v>
      </c>
      <c r="F132" s="303">
        <v>4.17</v>
      </c>
      <c r="G132" s="303">
        <v>0.17</v>
      </c>
      <c r="H132" s="306">
        <f t="shared" si="27"/>
        <v>4</v>
      </c>
      <c r="I132" s="320"/>
      <c r="J132" s="113"/>
      <c r="K132" s="322"/>
      <c r="L132" s="324">
        <f t="shared" si="18"/>
        <v>0</v>
      </c>
      <c r="M132" s="325">
        <f t="shared" si="19"/>
        <v>0</v>
      </c>
      <c r="N132" s="112"/>
      <c r="O132" s="223">
        <f t="shared" si="20"/>
        <v>0</v>
      </c>
      <c r="P132" s="223"/>
      <c r="Q132" s="109">
        <f t="shared" si="21"/>
        <v>0</v>
      </c>
      <c r="R132" s="109">
        <f t="shared" si="22"/>
        <v>0</v>
      </c>
      <c r="S132" s="116">
        <f t="shared" si="23"/>
        <v>0</v>
      </c>
      <c r="T132" s="106"/>
    </row>
    <row r="133" spans="2:20" ht="22.8" x14ac:dyDescent="0.65">
      <c r="B133" s="221" t="s">
        <v>160</v>
      </c>
      <c r="C133" s="257" t="s">
        <v>164</v>
      </c>
      <c r="D133" s="303">
        <v>20</v>
      </c>
      <c r="E133" s="305">
        <v>7.62</v>
      </c>
      <c r="F133" s="303">
        <v>8</v>
      </c>
      <c r="G133" s="303"/>
      <c r="H133" s="306">
        <f t="shared" si="27"/>
        <v>8</v>
      </c>
      <c r="I133" s="319"/>
      <c r="J133" s="113"/>
      <c r="K133" s="322"/>
      <c r="L133" s="324">
        <f t="shared" si="18"/>
        <v>0</v>
      </c>
      <c r="M133" s="325">
        <f t="shared" si="19"/>
        <v>0</v>
      </c>
      <c r="N133" s="112"/>
      <c r="O133" s="223">
        <f t="shared" si="20"/>
        <v>0</v>
      </c>
      <c r="P133" s="223"/>
      <c r="Q133" s="109">
        <f t="shared" si="21"/>
        <v>0</v>
      </c>
      <c r="R133" s="109">
        <f t="shared" si="22"/>
        <v>0</v>
      </c>
      <c r="S133" s="116">
        <f t="shared" si="23"/>
        <v>0</v>
      </c>
      <c r="T133" s="106"/>
    </row>
    <row r="134" spans="2:20" ht="22.8" x14ac:dyDescent="0.65">
      <c r="B134" s="221" t="s">
        <v>165</v>
      </c>
      <c r="C134" s="111" t="s">
        <v>166</v>
      </c>
      <c r="D134" s="303">
        <v>12</v>
      </c>
      <c r="E134" s="305">
        <v>28</v>
      </c>
      <c r="F134" s="304">
        <v>30.5</v>
      </c>
      <c r="G134" s="306">
        <v>1</v>
      </c>
      <c r="H134" s="304">
        <f t="shared" si="27"/>
        <v>29.5</v>
      </c>
      <c r="I134" s="319"/>
      <c r="J134" s="113"/>
      <c r="K134" s="322"/>
      <c r="L134" s="324">
        <f t="shared" si="18"/>
        <v>0</v>
      </c>
      <c r="M134" s="325">
        <f t="shared" si="19"/>
        <v>0</v>
      </c>
      <c r="N134" s="112"/>
      <c r="O134" s="223">
        <f t="shared" si="20"/>
        <v>0</v>
      </c>
      <c r="P134" s="223"/>
      <c r="Q134" s="109">
        <f t="shared" si="21"/>
        <v>0</v>
      </c>
      <c r="R134" s="109">
        <f t="shared" si="22"/>
        <v>0</v>
      </c>
      <c r="S134" s="116">
        <f t="shared" si="23"/>
        <v>0</v>
      </c>
      <c r="T134" s="106"/>
    </row>
    <row r="135" spans="2:20" ht="22.8" x14ac:dyDescent="0.65">
      <c r="B135" s="221"/>
      <c r="C135" s="374" t="s">
        <v>336</v>
      </c>
      <c r="D135" s="303">
        <v>12</v>
      </c>
      <c r="E135" s="305">
        <v>40.909999999999997</v>
      </c>
      <c r="F135" s="304">
        <v>44</v>
      </c>
      <c r="G135" s="306">
        <v>1</v>
      </c>
      <c r="H135" s="304">
        <f t="shared" si="27"/>
        <v>43</v>
      </c>
      <c r="I135" s="319"/>
      <c r="J135" s="113"/>
      <c r="K135" s="322"/>
      <c r="L135" s="324">
        <f t="shared" si="18"/>
        <v>0</v>
      </c>
      <c r="M135" s="325">
        <f t="shared" si="19"/>
        <v>0</v>
      </c>
      <c r="N135" s="112"/>
      <c r="O135" s="223">
        <f t="shared" si="20"/>
        <v>0</v>
      </c>
      <c r="P135" s="223"/>
      <c r="Q135" s="109">
        <f t="shared" si="21"/>
        <v>0</v>
      </c>
      <c r="R135" s="109">
        <f t="shared" si="22"/>
        <v>0</v>
      </c>
      <c r="S135" s="116">
        <f t="shared" si="23"/>
        <v>0</v>
      </c>
      <c r="T135" s="106"/>
    </row>
    <row r="136" spans="2:20" ht="22.8" x14ac:dyDescent="0.65">
      <c r="B136" s="221" t="s">
        <v>165</v>
      </c>
      <c r="C136" s="108" t="s">
        <v>167</v>
      </c>
      <c r="D136" s="303">
        <v>12</v>
      </c>
      <c r="E136" s="305">
        <v>40.92</v>
      </c>
      <c r="F136" s="303">
        <v>43</v>
      </c>
      <c r="G136" s="303"/>
      <c r="H136" s="306">
        <f t="shared" si="27"/>
        <v>43</v>
      </c>
      <c r="I136" s="319">
        <v>24</v>
      </c>
      <c r="J136" s="113"/>
      <c r="K136" s="322"/>
      <c r="L136" s="324">
        <f t="shared" si="18"/>
        <v>24</v>
      </c>
      <c r="M136" s="325">
        <f t="shared" si="19"/>
        <v>1032</v>
      </c>
      <c r="N136" s="112"/>
      <c r="O136" s="223">
        <f t="shared" si="20"/>
        <v>0</v>
      </c>
      <c r="P136" s="223"/>
      <c r="Q136" s="109">
        <f t="shared" si="21"/>
        <v>1032</v>
      </c>
      <c r="R136" s="109">
        <f t="shared" si="22"/>
        <v>0</v>
      </c>
      <c r="S136" s="116">
        <f t="shared" si="23"/>
        <v>1032</v>
      </c>
      <c r="T136" s="106"/>
    </row>
    <row r="137" spans="2:20" ht="22.8" x14ac:dyDescent="0.65">
      <c r="B137" s="221" t="s">
        <v>165</v>
      </c>
      <c r="C137" s="108" t="s">
        <v>168</v>
      </c>
      <c r="D137" s="303">
        <v>72</v>
      </c>
      <c r="E137" s="368">
        <v>7.61</v>
      </c>
      <c r="F137" s="303">
        <v>8</v>
      </c>
      <c r="G137" s="303"/>
      <c r="H137" s="306">
        <f t="shared" si="27"/>
        <v>8</v>
      </c>
      <c r="I137" s="319">
        <v>432</v>
      </c>
      <c r="J137" s="113"/>
      <c r="K137" s="322">
        <v>264</v>
      </c>
      <c r="L137" s="324">
        <f t="shared" si="18"/>
        <v>168</v>
      </c>
      <c r="M137" s="325">
        <f t="shared" si="19"/>
        <v>1344</v>
      </c>
      <c r="N137" s="112"/>
      <c r="O137" s="223">
        <f t="shared" si="20"/>
        <v>0</v>
      </c>
      <c r="P137" s="223"/>
      <c r="Q137" s="109">
        <f t="shared" si="21"/>
        <v>3456</v>
      </c>
      <c r="R137" s="109">
        <f t="shared" si="22"/>
        <v>2112</v>
      </c>
      <c r="S137" s="116">
        <f t="shared" si="23"/>
        <v>1344</v>
      </c>
      <c r="T137" s="106"/>
    </row>
    <row r="138" spans="2:20" ht="22.8" x14ac:dyDescent="0.65">
      <c r="B138" s="221" t="s">
        <v>165</v>
      </c>
      <c r="C138" s="108" t="s">
        <v>169</v>
      </c>
      <c r="D138" s="303">
        <v>24</v>
      </c>
      <c r="E138" s="368">
        <v>12.4</v>
      </c>
      <c r="F138" s="303">
        <v>13</v>
      </c>
      <c r="G138" s="304"/>
      <c r="H138" s="306">
        <f t="shared" si="27"/>
        <v>13</v>
      </c>
      <c r="I138" s="319"/>
      <c r="J138" s="113"/>
      <c r="K138" s="322"/>
      <c r="L138" s="324">
        <f t="shared" si="18"/>
        <v>0</v>
      </c>
      <c r="M138" s="325">
        <f t="shared" si="19"/>
        <v>0</v>
      </c>
      <c r="N138" s="112"/>
      <c r="O138" s="223">
        <f t="shared" si="20"/>
        <v>0</v>
      </c>
      <c r="P138" s="223"/>
      <c r="Q138" s="109">
        <f t="shared" si="21"/>
        <v>0</v>
      </c>
      <c r="R138" s="109">
        <f t="shared" si="22"/>
        <v>0</v>
      </c>
      <c r="S138" s="116">
        <f t="shared" si="23"/>
        <v>0</v>
      </c>
      <c r="T138" s="106"/>
    </row>
    <row r="139" spans="2:20" ht="22.8" x14ac:dyDescent="0.65">
      <c r="B139" s="221" t="s">
        <v>165</v>
      </c>
      <c r="C139" s="108" t="s">
        <v>170</v>
      </c>
      <c r="D139" s="303">
        <v>72</v>
      </c>
      <c r="E139" s="305">
        <v>3.81</v>
      </c>
      <c r="F139" s="303">
        <v>4</v>
      </c>
      <c r="G139" s="304"/>
      <c r="H139" s="306">
        <f t="shared" si="27"/>
        <v>4</v>
      </c>
      <c r="I139" s="319"/>
      <c r="J139" s="113"/>
      <c r="K139" s="322"/>
      <c r="L139" s="324">
        <f t="shared" si="18"/>
        <v>0</v>
      </c>
      <c r="M139" s="325">
        <f t="shared" si="19"/>
        <v>0</v>
      </c>
      <c r="N139" s="112"/>
      <c r="O139" s="223">
        <f t="shared" si="20"/>
        <v>0</v>
      </c>
      <c r="P139" s="223"/>
      <c r="Q139" s="109">
        <f t="shared" si="21"/>
        <v>0</v>
      </c>
      <c r="R139" s="109">
        <f t="shared" si="22"/>
        <v>0</v>
      </c>
      <c r="S139" s="116">
        <f t="shared" si="23"/>
        <v>0</v>
      </c>
      <c r="T139" s="106"/>
    </row>
    <row r="140" spans="2:20" ht="22.8" x14ac:dyDescent="0.65">
      <c r="B140" s="221" t="s">
        <v>165</v>
      </c>
      <c r="C140" s="108" t="s">
        <v>171</v>
      </c>
      <c r="D140" s="303">
        <v>12</v>
      </c>
      <c r="E140" s="305">
        <v>90.42</v>
      </c>
      <c r="F140" s="303">
        <v>95</v>
      </c>
      <c r="G140" s="303"/>
      <c r="H140" s="306">
        <f t="shared" si="27"/>
        <v>95</v>
      </c>
      <c r="I140" s="319"/>
      <c r="J140" s="113"/>
      <c r="K140" s="322"/>
      <c r="L140" s="324">
        <f t="shared" si="18"/>
        <v>0</v>
      </c>
      <c r="M140" s="325">
        <f t="shared" si="19"/>
        <v>0</v>
      </c>
      <c r="N140" s="112"/>
      <c r="O140" s="223">
        <f t="shared" si="20"/>
        <v>0</v>
      </c>
      <c r="P140" s="223"/>
      <c r="Q140" s="109">
        <f t="shared" si="21"/>
        <v>0</v>
      </c>
      <c r="R140" s="109">
        <f t="shared" si="22"/>
        <v>0</v>
      </c>
      <c r="S140" s="116">
        <f t="shared" si="23"/>
        <v>0</v>
      </c>
      <c r="T140" s="106"/>
    </row>
    <row r="141" spans="2:20" ht="22.8" x14ac:dyDescent="0.65">
      <c r="B141" s="221" t="s">
        <v>165</v>
      </c>
      <c r="C141" s="108" t="s">
        <v>172</v>
      </c>
      <c r="D141" s="303">
        <v>12</v>
      </c>
      <c r="E141" s="305">
        <v>55.17</v>
      </c>
      <c r="F141" s="303">
        <v>58</v>
      </c>
      <c r="G141" s="303"/>
      <c r="H141" s="306">
        <f t="shared" si="27"/>
        <v>58</v>
      </c>
      <c r="I141" s="319"/>
      <c r="J141" s="113"/>
      <c r="K141" s="322"/>
      <c r="L141" s="324">
        <f t="shared" si="18"/>
        <v>0</v>
      </c>
      <c r="M141" s="325">
        <f t="shared" si="19"/>
        <v>0</v>
      </c>
      <c r="N141" s="112"/>
      <c r="O141" s="223">
        <f t="shared" si="20"/>
        <v>0</v>
      </c>
      <c r="P141" s="223"/>
      <c r="Q141" s="109">
        <f t="shared" si="21"/>
        <v>0</v>
      </c>
      <c r="R141" s="109">
        <f t="shared" si="22"/>
        <v>0</v>
      </c>
      <c r="S141" s="116">
        <f t="shared" si="23"/>
        <v>0</v>
      </c>
      <c r="T141" s="106"/>
    </row>
    <row r="142" spans="2:20" ht="22.8" x14ac:dyDescent="0.65">
      <c r="B142" s="221" t="s">
        <v>165</v>
      </c>
      <c r="C142" s="108" t="s">
        <v>173</v>
      </c>
      <c r="D142" s="303">
        <v>24</v>
      </c>
      <c r="E142" s="305">
        <v>16.670000000000002</v>
      </c>
      <c r="F142" s="303">
        <v>17</v>
      </c>
      <c r="G142" s="303"/>
      <c r="H142" s="306">
        <f t="shared" si="27"/>
        <v>17</v>
      </c>
      <c r="I142" s="319"/>
      <c r="J142" s="113"/>
      <c r="K142" s="322"/>
      <c r="L142" s="324">
        <f t="shared" si="18"/>
        <v>0</v>
      </c>
      <c r="M142" s="325">
        <f t="shared" si="19"/>
        <v>0</v>
      </c>
      <c r="N142" s="112"/>
      <c r="O142" s="223">
        <f t="shared" si="20"/>
        <v>0</v>
      </c>
      <c r="P142" s="223"/>
      <c r="Q142" s="109">
        <f t="shared" si="21"/>
        <v>0</v>
      </c>
      <c r="R142" s="109">
        <f t="shared" si="22"/>
        <v>0</v>
      </c>
      <c r="S142" s="116">
        <f t="shared" si="23"/>
        <v>0</v>
      </c>
      <c r="T142" s="106"/>
    </row>
    <row r="143" spans="2:20" ht="22.8" x14ac:dyDescent="0.65">
      <c r="B143" s="221" t="s">
        <v>165</v>
      </c>
      <c r="C143" s="108" t="s">
        <v>174</v>
      </c>
      <c r="D143" s="308">
        <v>12</v>
      </c>
      <c r="E143" s="309">
        <v>55.17</v>
      </c>
      <c r="F143" s="308">
        <v>58</v>
      </c>
      <c r="G143" s="308"/>
      <c r="H143" s="310">
        <f t="shared" si="27"/>
        <v>58</v>
      </c>
      <c r="I143" s="319"/>
      <c r="J143" s="113"/>
      <c r="K143" s="322"/>
      <c r="L143" s="324">
        <f t="shared" si="18"/>
        <v>0</v>
      </c>
      <c r="M143" s="325">
        <f t="shared" si="19"/>
        <v>0</v>
      </c>
      <c r="N143" s="112"/>
      <c r="O143" s="223">
        <f t="shared" si="20"/>
        <v>0</v>
      </c>
      <c r="P143" s="223"/>
      <c r="Q143" s="109">
        <f t="shared" si="21"/>
        <v>0</v>
      </c>
      <c r="R143" s="109">
        <f t="shared" si="22"/>
        <v>0</v>
      </c>
      <c r="S143" s="116">
        <f t="shared" si="23"/>
        <v>0</v>
      </c>
      <c r="T143" s="106"/>
    </row>
    <row r="144" spans="2:20" ht="22.8" x14ac:dyDescent="0.65">
      <c r="B144" s="221" t="s">
        <v>165</v>
      </c>
      <c r="C144" s="108" t="s">
        <v>175</v>
      </c>
      <c r="D144" s="308">
        <v>12</v>
      </c>
      <c r="E144" s="309">
        <v>87.58</v>
      </c>
      <c r="F144" s="308">
        <v>92</v>
      </c>
      <c r="G144" s="308"/>
      <c r="H144" s="310">
        <f t="shared" si="27"/>
        <v>92</v>
      </c>
      <c r="I144" s="319"/>
      <c r="J144" s="113"/>
      <c r="K144" s="322"/>
      <c r="L144" s="324">
        <f t="shared" si="18"/>
        <v>0</v>
      </c>
      <c r="M144" s="325">
        <f t="shared" si="19"/>
        <v>0</v>
      </c>
      <c r="N144" s="225"/>
      <c r="O144" s="223">
        <f t="shared" si="20"/>
        <v>0</v>
      </c>
      <c r="P144" s="223"/>
      <c r="Q144" s="109">
        <f t="shared" si="21"/>
        <v>0</v>
      </c>
      <c r="R144" s="109">
        <f t="shared" si="22"/>
        <v>0</v>
      </c>
      <c r="S144" s="116">
        <f t="shared" si="23"/>
        <v>0</v>
      </c>
      <c r="T144" s="106"/>
    </row>
    <row r="145" spans="2:20" ht="22.8" x14ac:dyDescent="0.65">
      <c r="B145" s="221" t="s">
        <v>165</v>
      </c>
      <c r="C145" s="108" t="s">
        <v>176</v>
      </c>
      <c r="D145" s="308">
        <v>12</v>
      </c>
      <c r="E145" s="309">
        <v>87.58</v>
      </c>
      <c r="F145" s="308">
        <v>83</v>
      </c>
      <c r="G145" s="308"/>
      <c r="H145" s="310">
        <v>92</v>
      </c>
      <c r="I145" s="319"/>
      <c r="J145" s="113"/>
      <c r="K145" s="322"/>
      <c r="L145" s="324">
        <f t="shared" si="18"/>
        <v>0</v>
      </c>
      <c r="M145" s="325">
        <f t="shared" si="19"/>
        <v>0</v>
      </c>
      <c r="N145" s="112"/>
      <c r="O145" s="223">
        <f t="shared" si="20"/>
        <v>0</v>
      </c>
      <c r="P145" s="223"/>
      <c r="Q145" s="109">
        <f t="shared" si="21"/>
        <v>0</v>
      </c>
      <c r="R145" s="109">
        <f t="shared" si="22"/>
        <v>0</v>
      </c>
      <c r="S145" s="116">
        <f t="shared" si="23"/>
        <v>0</v>
      </c>
      <c r="T145" s="106"/>
    </row>
    <row r="146" spans="2:20" ht="22.8" x14ac:dyDescent="0.65">
      <c r="B146" s="221" t="s">
        <v>165</v>
      </c>
      <c r="C146" s="108" t="s">
        <v>177</v>
      </c>
      <c r="D146" s="308">
        <v>12</v>
      </c>
      <c r="E146" s="309">
        <v>109.25</v>
      </c>
      <c r="F146" s="308">
        <v>120</v>
      </c>
      <c r="G146" s="308">
        <v>5</v>
      </c>
      <c r="H146" s="310">
        <f t="shared" ref="H146:H151" si="28">SUM(F146-G146)</f>
        <v>115</v>
      </c>
      <c r="I146" s="319"/>
      <c r="J146" s="113"/>
      <c r="K146" s="322"/>
      <c r="L146" s="324">
        <f t="shared" si="18"/>
        <v>0</v>
      </c>
      <c r="M146" s="325">
        <f t="shared" si="19"/>
        <v>0</v>
      </c>
      <c r="N146" s="112"/>
      <c r="O146" s="223">
        <f t="shared" si="20"/>
        <v>0</v>
      </c>
      <c r="P146" s="223"/>
      <c r="Q146" s="109">
        <f t="shared" si="21"/>
        <v>0</v>
      </c>
      <c r="R146" s="109">
        <f t="shared" si="22"/>
        <v>0</v>
      </c>
      <c r="S146" s="116">
        <f t="shared" si="23"/>
        <v>0</v>
      </c>
      <c r="T146" s="106"/>
    </row>
    <row r="147" spans="2:20" ht="22.8" x14ac:dyDescent="0.65">
      <c r="B147" s="221" t="s">
        <v>165</v>
      </c>
      <c r="C147" s="108" t="s">
        <v>178</v>
      </c>
      <c r="D147" s="308">
        <v>24</v>
      </c>
      <c r="E147" s="309">
        <v>49.42</v>
      </c>
      <c r="F147" s="308">
        <v>54</v>
      </c>
      <c r="G147" s="308">
        <v>2</v>
      </c>
      <c r="H147" s="310">
        <f t="shared" si="28"/>
        <v>52</v>
      </c>
      <c r="I147" s="319"/>
      <c r="J147" s="113"/>
      <c r="K147" s="322"/>
      <c r="L147" s="324">
        <f t="shared" si="18"/>
        <v>0</v>
      </c>
      <c r="M147" s="325">
        <f t="shared" si="19"/>
        <v>0</v>
      </c>
      <c r="N147" s="112"/>
      <c r="O147" s="223">
        <f t="shared" si="20"/>
        <v>0</v>
      </c>
      <c r="P147" s="223"/>
      <c r="Q147" s="109">
        <f t="shared" si="21"/>
        <v>0</v>
      </c>
      <c r="R147" s="109">
        <f t="shared" si="22"/>
        <v>0</v>
      </c>
      <c r="S147" s="116">
        <f t="shared" si="23"/>
        <v>0</v>
      </c>
      <c r="T147" s="106"/>
    </row>
    <row r="148" spans="2:20" ht="31.2" x14ac:dyDescent="0.65">
      <c r="B148" s="221" t="s">
        <v>165</v>
      </c>
      <c r="C148" s="226" t="s">
        <v>179</v>
      </c>
      <c r="D148" s="308">
        <v>12</v>
      </c>
      <c r="E148" s="309">
        <v>113.75</v>
      </c>
      <c r="F148" s="308">
        <v>130</v>
      </c>
      <c r="G148" s="308">
        <v>10</v>
      </c>
      <c r="H148" s="310">
        <f t="shared" si="28"/>
        <v>120</v>
      </c>
      <c r="I148" s="319"/>
      <c r="J148" s="113"/>
      <c r="K148" s="322"/>
      <c r="L148" s="324">
        <f t="shared" si="18"/>
        <v>0</v>
      </c>
      <c r="M148" s="325">
        <f t="shared" si="19"/>
        <v>0</v>
      </c>
      <c r="N148" s="227"/>
      <c r="O148" s="223">
        <f t="shared" si="20"/>
        <v>0</v>
      </c>
      <c r="P148" s="223"/>
      <c r="Q148" s="109">
        <f t="shared" si="21"/>
        <v>0</v>
      </c>
      <c r="R148" s="109">
        <f t="shared" si="22"/>
        <v>0</v>
      </c>
      <c r="S148" s="116">
        <f t="shared" si="23"/>
        <v>0</v>
      </c>
      <c r="T148" s="106"/>
    </row>
    <row r="149" spans="2:20" ht="19.8" x14ac:dyDescent="0.3">
      <c r="B149" s="221" t="s">
        <v>165</v>
      </c>
      <c r="C149" s="108" t="s">
        <v>180</v>
      </c>
      <c r="D149" s="308">
        <v>12</v>
      </c>
      <c r="E149" s="309">
        <v>59</v>
      </c>
      <c r="F149" s="308">
        <v>62</v>
      </c>
      <c r="G149" s="308"/>
      <c r="H149" s="310">
        <f t="shared" si="28"/>
        <v>62</v>
      </c>
      <c r="I149" s="321"/>
      <c r="J149" s="113"/>
      <c r="K149" s="323"/>
      <c r="L149" s="324">
        <f t="shared" si="18"/>
        <v>0</v>
      </c>
      <c r="M149" s="325">
        <f t="shared" si="19"/>
        <v>0</v>
      </c>
      <c r="N149" s="112"/>
      <c r="O149" s="223">
        <f t="shared" si="20"/>
        <v>0</v>
      </c>
      <c r="P149" s="223"/>
      <c r="Q149" s="109">
        <f t="shared" si="21"/>
        <v>0</v>
      </c>
      <c r="R149" s="109">
        <f t="shared" si="22"/>
        <v>0</v>
      </c>
      <c r="S149" s="116">
        <f t="shared" si="23"/>
        <v>0</v>
      </c>
      <c r="T149" s="106"/>
    </row>
    <row r="150" spans="2:20" ht="22.8" x14ac:dyDescent="0.65">
      <c r="B150" s="221" t="s">
        <v>165</v>
      </c>
      <c r="C150" s="108" t="s">
        <v>181</v>
      </c>
      <c r="D150" s="308">
        <v>6</v>
      </c>
      <c r="E150" s="309">
        <v>114</v>
      </c>
      <c r="F150" s="308">
        <v>126</v>
      </c>
      <c r="G150" s="308">
        <v>6</v>
      </c>
      <c r="H150" s="310">
        <f t="shared" si="28"/>
        <v>120</v>
      </c>
      <c r="I150" s="319">
        <v>3</v>
      </c>
      <c r="J150" s="113"/>
      <c r="K150" s="323"/>
      <c r="L150" s="324">
        <f t="shared" si="18"/>
        <v>3</v>
      </c>
      <c r="M150" s="325">
        <f t="shared" si="19"/>
        <v>360</v>
      </c>
      <c r="N150" s="112"/>
      <c r="O150" s="223">
        <f t="shared" si="20"/>
        <v>0</v>
      </c>
      <c r="P150" s="223"/>
      <c r="Q150" s="109">
        <f t="shared" si="21"/>
        <v>360</v>
      </c>
      <c r="R150" s="109"/>
      <c r="S150" s="116">
        <f t="shared" si="23"/>
        <v>360</v>
      </c>
      <c r="T150" s="106"/>
    </row>
    <row r="151" spans="2:20" ht="22.8" x14ac:dyDescent="0.65">
      <c r="B151" s="221" t="s">
        <v>165</v>
      </c>
      <c r="C151" s="108" t="s">
        <v>182</v>
      </c>
      <c r="D151" s="308">
        <v>6</v>
      </c>
      <c r="E151" s="309">
        <v>45.5</v>
      </c>
      <c r="F151" s="308">
        <v>50</v>
      </c>
      <c r="G151" s="308">
        <v>2</v>
      </c>
      <c r="H151" s="310">
        <f t="shared" si="28"/>
        <v>48</v>
      </c>
      <c r="I151" s="319">
        <v>6</v>
      </c>
      <c r="J151" s="113"/>
      <c r="K151" s="323">
        <v>6</v>
      </c>
      <c r="L151" s="324">
        <f t="shared" si="18"/>
        <v>0</v>
      </c>
      <c r="M151" s="325">
        <f t="shared" si="19"/>
        <v>0</v>
      </c>
      <c r="N151" s="229"/>
      <c r="O151" s="223">
        <f t="shared" si="20"/>
        <v>0</v>
      </c>
      <c r="P151" s="223"/>
      <c r="Q151" s="109">
        <f t="shared" si="21"/>
        <v>288</v>
      </c>
      <c r="R151" s="109">
        <f t="shared" ref="R151:R155" si="29">K151*H151</f>
        <v>288</v>
      </c>
      <c r="S151" s="116">
        <f t="shared" si="23"/>
        <v>0</v>
      </c>
      <c r="T151" s="106"/>
    </row>
    <row r="152" spans="2:20" ht="22.8" x14ac:dyDescent="0.65">
      <c r="B152" s="221" t="s">
        <v>183</v>
      </c>
      <c r="C152" s="230" t="s">
        <v>184</v>
      </c>
      <c r="D152" s="308"/>
      <c r="E152" s="309"/>
      <c r="F152" s="311"/>
      <c r="G152" s="311"/>
      <c r="H152" s="308"/>
      <c r="I152" s="319"/>
      <c r="J152" s="113"/>
      <c r="K152" s="323"/>
      <c r="L152" s="324">
        <f t="shared" si="18"/>
        <v>0</v>
      </c>
      <c r="M152" s="325">
        <f t="shared" si="19"/>
        <v>0</v>
      </c>
      <c r="N152" s="231"/>
      <c r="O152" s="223">
        <f t="shared" si="20"/>
        <v>0</v>
      </c>
      <c r="P152" s="223"/>
      <c r="Q152" s="109">
        <f t="shared" si="21"/>
        <v>0</v>
      </c>
      <c r="R152" s="109">
        <f t="shared" si="29"/>
        <v>0</v>
      </c>
      <c r="S152" s="116">
        <f t="shared" si="23"/>
        <v>0</v>
      </c>
      <c r="T152" s="106"/>
    </row>
    <row r="153" spans="2:20" ht="22.8" x14ac:dyDescent="0.65">
      <c r="B153" s="221" t="s">
        <v>183</v>
      </c>
      <c r="C153" s="226" t="s">
        <v>185</v>
      </c>
      <c r="D153" s="312"/>
      <c r="E153" s="313"/>
      <c r="F153" s="312"/>
      <c r="G153" s="312"/>
      <c r="H153" s="312"/>
      <c r="I153" s="319"/>
      <c r="J153" s="113"/>
      <c r="K153" s="323"/>
      <c r="L153" s="324">
        <f t="shared" si="18"/>
        <v>0</v>
      </c>
      <c r="M153" s="325">
        <f t="shared" si="19"/>
        <v>0</v>
      </c>
      <c r="N153" s="231"/>
      <c r="O153" s="223">
        <f t="shared" si="20"/>
        <v>0</v>
      </c>
      <c r="P153" s="223"/>
      <c r="Q153" s="109">
        <f t="shared" si="21"/>
        <v>0</v>
      </c>
      <c r="R153" s="109">
        <f t="shared" si="29"/>
        <v>0</v>
      </c>
      <c r="S153" s="116">
        <f t="shared" si="23"/>
        <v>0</v>
      </c>
      <c r="T153" s="106"/>
    </row>
    <row r="154" spans="2:20" ht="22.8" x14ac:dyDescent="0.65">
      <c r="B154" s="221" t="s">
        <v>183</v>
      </c>
      <c r="C154" s="108" t="s">
        <v>186</v>
      </c>
      <c r="D154" s="308">
        <v>48</v>
      </c>
      <c r="E154" s="309">
        <v>56.92</v>
      </c>
      <c r="F154" s="310">
        <v>65</v>
      </c>
      <c r="G154" s="308">
        <v>4.74</v>
      </c>
      <c r="H154" s="308">
        <f t="shared" ref="H154:H156" si="30">SUM(F154-G154)</f>
        <v>60.26</v>
      </c>
      <c r="I154" s="319"/>
      <c r="J154" s="113"/>
      <c r="K154" s="323"/>
      <c r="L154" s="324">
        <f t="shared" si="18"/>
        <v>0</v>
      </c>
      <c r="M154" s="325">
        <f t="shared" si="19"/>
        <v>0</v>
      </c>
      <c r="N154" s="228"/>
      <c r="O154" s="223">
        <f t="shared" si="20"/>
        <v>0</v>
      </c>
      <c r="P154" s="223"/>
      <c r="Q154" s="109">
        <f t="shared" si="21"/>
        <v>0</v>
      </c>
      <c r="R154" s="109">
        <f t="shared" si="29"/>
        <v>0</v>
      </c>
      <c r="S154" s="116">
        <f t="shared" si="23"/>
        <v>0</v>
      </c>
      <c r="T154" s="106"/>
    </row>
    <row r="155" spans="2:20" ht="22.8" x14ac:dyDescent="0.65">
      <c r="B155" s="221" t="s">
        <v>183</v>
      </c>
      <c r="C155" s="108" t="s">
        <v>187</v>
      </c>
      <c r="D155" s="308">
        <v>24</v>
      </c>
      <c r="E155" s="309">
        <v>106.81</v>
      </c>
      <c r="F155" s="308">
        <v>122</v>
      </c>
      <c r="G155" s="314">
        <v>8.9</v>
      </c>
      <c r="H155" s="308">
        <f t="shared" si="30"/>
        <v>113.1</v>
      </c>
      <c r="I155" s="319"/>
      <c r="J155" s="113"/>
      <c r="K155" s="323"/>
      <c r="L155" s="324">
        <f t="shared" si="18"/>
        <v>0</v>
      </c>
      <c r="M155" s="325">
        <f t="shared" si="19"/>
        <v>0</v>
      </c>
      <c r="N155" s="228"/>
      <c r="O155" s="223">
        <f t="shared" si="20"/>
        <v>0</v>
      </c>
      <c r="P155" s="223"/>
      <c r="Q155" s="109">
        <f t="shared" si="21"/>
        <v>0</v>
      </c>
      <c r="R155" s="109">
        <f t="shared" si="29"/>
        <v>0</v>
      </c>
      <c r="S155" s="116">
        <f t="shared" si="23"/>
        <v>0</v>
      </c>
      <c r="T155" s="106"/>
    </row>
    <row r="156" spans="2:20" ht="22.8" x14ac:dyDescent="0.65">
      <c r="B156" s="221"/>
      <c r="C156" s="329" t="s">
        <v>312</v>
      </c>
      <c r="D156" s="329">
        <v>24</v>
      </c>
      <c r="E156" s="329"/>
      <c r="F156" s="329">
        <v>297</v>
      </c>
      <c r="G156" s="329">
        <v>21.76</v>
      </c>
      <c r="H156" s="329">
        <f t="shared" si="30"/>
        <v>275.24</v>
      </c>
      <c r="I156" s="319"/>
      <c r="J156" s="113"/>
      <c r="K156" s="323"/>
      <c r="L156" s="324">
        <f t="shared" si="18"/>
        <v>0</v>
      </c>
      <c r="M156" s="325">
        <f t="shared" si="19"/>
        <v>0</v>
      </c>
      <c r="N156" s="228"/>
      <c r="O156" s="223">
        <f t="shared" si="20"/>
        <v>0</v>
      </c>
      <c r="P156" s="223"/>
      <c r="Q156" s="109"/>
      <c r="R156" s="109"/>
      <c r="S156" s="116"/>
      <c r="T156" s="106"/>
    </row>
    <row r="157" spans="2:20" ht="22.8" x14ac:dyDescent="0.65">
      <c r="B157" s="221" t="s">
        <v>183</v>
      </c>
      <c r="C157" s="226" t="s">
        <v>188</v>
      </c>
      <c r="D157" s="312"/>
      <c r="E157" s="313"/>
      <c r="F157" s="312"/>
      <c r="G157" s="312"/>
      <c r="H157" s="312"/>
      <c r="I157" s="319"/>
      <c r="J157" s="113"/>
      <c r="K157" s="323"/>
      <c r="L157" s="324">
        <f t="shared" si="18"/>
        <v>0</v>
      </c>
      <c r="M157" s="325">
        <f t="shared" si="19"/>
        <v>0</v>
      </c>
      <c r="N157" s="228"/>
      <c r="O157" s="223">
        <f t="shared" si="20"/>
        <v>0</v>
      </c>
      <c r="P157" s="223"/>
      <c r="Q157" s="109">
        <f t="shared" ref="Q157:Q158" si="31">I157*H157</f>
        <v>0</v>
      </c>
      <c r="R157" s="109">
        <f t="shared" ref="R157:R158" si="32">K157*H157</f>
        <v>0</v>
      </c>
      <c r="S157" s="116">
        <f t="shared" ref="S157:S158" si="33">L157*H157</f>
        <v>0</v>
      </c>
      <c r="T157" s="106"/>
    </row>
    <row r="158" spans="2:20" ht="22.8" x14ac:dyDescent="0.65">
      <c r="B158" s="221" t="s">
        <v>183</v>
      </c>
      <c r="C158" s="108" t="s">
        <v>186</v>
      </c>
      <c r="D158" s="308">
        <v>48</v>
      </c>
      <c r="E158" s="309">
        <v>55.71</v>
      </c>
      <c r="F158" s="308">
        <v>58.49</v>
      </c>
      <c r="G158" s="308">
        <v>4.6399999999999997</v>
      </c>
      <c r="H158" s="308">
        <f t="shared" ref="H158:H171" si="34">SUM(F158-G158)</f>
        <v>53.85</v>
      </c>
      <c r="I158" s="319"/>
      <c r="J158" s="113"/>
      <c r="K158" s="323"/>
      <c r="L158" s="324">
        <f t="shared" si="18"/>
        <v>0</v>
      </c>
      <c r="M158" s="325">
        <f t="shared" si="19"/>
        <v>0</v>
      </c>
      <c r="N158" s="228"/>
      <c r="O158" s="223">
        <f t="shared" si="20"/>
        <v>0</v>
      </c>
      <c r="P158" s="223"/>
      <c r="Q158" s="109">
        <f t="shared" si="31"/>
        <v>0</v>
      </c>
      <c r="R158" s="109">
        <f t="shared" si="32"/>
        <v>0</v>
      </c>
      <c r="S158" s="116">
        <f t="shared" si="33"/>
        <v>0</v>
      </c>
      <c r="T158" s="106"/>
    </row>
    <row r="159" spans="2:20" ht="22.8" x14ac:dyDescent="0.65">
      <c r="B159" s="221"/>
      <c r="C159" s="329" t="s">
        <v>187</v>
      </c>
      <c r="D159" s="331">
        <v>24</v>
      </c>
      <c r="E159" s="331"/>
      <c r="F159" s="331">
        <v>80.290000000000006</v>
      </c>
      <c r="G159" s="331">
        <v>9.18</v>
      </c>
      <c r="H159" s="331">
        <f t="shared" si="34"/>
        <v>71.110000000000014</v>
      </c>
      <c r="I159" s="319"/>
      <c r="J159" s="113"/>
      <c r="K159" s="323"/>
      <c r="L159" s="324">
        <f t="shared" si="18"/>
        <v>0</v>
      </c>
      <c r="M159" s="325">
        <f t="shared" si="19"/>
        <v>0</v>
      </c>
      <c r="N159" s="228"/>
      <c r="O159" s="223">
        <f t="shared" si="20"/>
        <v>0</v>
      </c>
      <c r="P159" s="223"/>
      <c r="Q159" s="109"/>
      <c r="R159" s="109"/>
      <c r="S159" s="116"/>
      <c r="T159" s="106"/>
    </row>
    <row r="160" spans="2:20" ht="22.8" x14ac:dyDescent="0.65">
      <c r="B160" s="221"/>
      <c r="C160" s="329" t="s">
        <v>312</v>
      </c>
      <c r="D160" s="331">
        <v>24</v>
      </c>
      <c r="E160" s="331"/>
      <c r="F160" s="331">
        <v>189.21</v>
      </c>
      <c r="G160" s="331">
        <v>20.82</v>
      </c>
      <c r="H160" s="331">
        <f t="shared" si="34"/>
        <v>168.39000000000001</v>
      </c>
      <c r="I160" s="319"/>
      <c r="J160" s="113"/>
      <c r="K160" s="323"/>
      <c r="L160" s="324">
        <f t="shared" si="18"/>
        <v>0</v>
      </c>
      <c r="M160" s="325">
        <f t="shared" si="19"/>
        <v>0</v>
      </c>
      <c r="N160" s="228"/>
      <c r="O160" s="223">
        <f t="shared" si="20"/>
        <v>0</v>
      </c>
      <c r="P160" s="223"/>
      <c r="Q160" s="109"/>
      <c r="R160" s="109"/>
      <c r="S160" s="116"/>
      <c r="T160" s="106"/>
    </row>
    <row r="161" spans="2:20" ht="22.8" x14ac:dyDescent="0.65">
      <c r="B161" s="221" t="s">
        <v>183</v>
      </c>
      <c r="C161" s="114" t="s">
        <v>189</v>
      </c>
      <c r="D161" s="315">
        <v>72</v>
      </c>
      <c r="E161" s="316">
        <v>47.63</v>
      </c>
      <c r="F161" s="315">
        <v>50</v>
      </c>
      <c r="G161" s="315"/>
      <c r="H161" s="315">
        <f t="shared" si="34"/>
        <v>50</v>
      </c>
      <c r="I161" s="319"/>
      <c r="J161" s="113"/>
      <c r="K161" s="323"/>
      <c r="L161" s="324">
        <f t="shared" si="18"/>
        <v>0</v>
      </c>
      <c r="M161" s="325">
        <f t="shared" si="19"/>
        <v>0</v>
      </c>
      <c r="N161" s="228"/>
      <c r="O161" s="223">
        <f t="shared" si="20"/>
        <v>0</v>
      </c>
      <c r="P161" s="223"/>
      <c r="Q161" s="109">
        <f t="shared" ref="Q161:Q174" si="35">I161*H161</f>
        <v>0</v>
      </c>
      <c r="R161" s="109">
        <f t="shared" ref="R161:R174" si="36">K161*H161</f>
        <v>0</v>
      </c>
      <c r="S161" s="116">
        <f t="shared" ref="S161:S174" si="37">L161*H161</f>
        <v>0</v>
      </c>
      <c r="T161" s="106"/>
    </row>
    <row r="162" spans="2:20" ht="22.8" x14ac:dyDescent="0.65">
      <c r="B162" s="221" t="s">
        <v>190</v>
      </c>
      <c r="C162" s="114" t="s">
        <v>191</v>
      </c>
      <c r="D162" s="315">
        <v>20</v>
      </c>
      <c r="E162" s="316"/>
      <c r="F162" s="315">
        <v>135</v>
      </c>
      <c r="G162" s="315">
        <v>5</v>
      </c>
      <c r="H162" s="315">
        <f t="shared" si="34"/>
        <v>130</v>
      </c>
      <c r="I162" s="319"/>
      <c r="J162" s="113"/>
      <c r="K162" s="323"/>
      <c r="L162" s="324">
        <f t="shared" si="18"/>
        <v>0</v>
      </c>
      <c r="M162" s="325">
        <f t="shared" si="19"/>
        <v>0</v>
      </c>
      <c r="N162" s="228"/>
      <c r="O162" s="223">
        <f t="shared" si="20"/>
        <v>0</v>
      </c>
      <c r="P162" s="223"/>
      <c r="Q162" s="109">
        <f t="shared" si="35"/>
        <v>0</v>
      </c>
      <c r="R162" s="109">
        <f t="shared" si="36"/>
        <v>0</v>
      </c>
      <c r="S162" s="116">
        <f t="shared" si="37"/>
        <v>0</v>
      </c>
      <c r="T162" s="106"/>
    </row>
    <row r="163" spans="2:20" ht="22.8" x14ac:dyDescent="0.65">
      <c r="B163" s="221" t="s">
        <v>192</v>
      </c>
      <c r="C163" s="108" t="s">
        <v>193</v>
      </c>
      <c r="D163" s="308">
        <v>24</v>
      </c>
      <c r="E163" s="366">
        <v>44.8</v>
      </c>
      <c r="F163" s="308">
        <v>50</v>
      </c>
      <c r="G163" s="308"/>
      <c r="H163" s="315">
        <f t="shared" si="34"/>
        <v>50</v>
      </c>
      <c r="I163" s="319"/>
      <c r="J163" s="113"/>
      <c r="K163" s="323"/>
      <c r="L163" s="324">
        <f t="shared" si="18"/>
        <v>0</v>
      </c>
      <c r="M163" s="325">
        <f t="shared" si="19"/>
        <v>0</v>
      </c>
      <c r="N163" s="228"/>
      <c r="O163" s="223">
        <f t="shared" si="20"/>
        <v>0</v>
      </c>
      <c r="P163" s="223"/>
      <c r="Q163" s="109">
        <f t="shared" si="35"/>
        <v>0</v>
      </c>
      <c r="R163" s="109">
        <f t="shared" si="36"/>
        <v>0</v>
      </c>
      <c r="S163" s="116">
        <f t="shared" si="37"/>
        <v>0</v>
      </c>
      <c r="T163" s="106"/>
    </row>
    <row r="164" spans="2:20" ht="22.8" x14ac:dyDescent="0.65">
      <c r="B164" s="221" t="s">
        <v>192</v>
      </c>
      <c r="C164" s="108" t="s">
        <v>194</v>
      </c>
      <c r="D164" s="308">
        <v>12</v>
      </c>
      <c r="E164" s="366">
        <v>89.58</v>
      </c>
      <c r="F164" s="308">
        <v>100</v>
      </c>
      <c r="G164" s="308"/>
      <c r="H164" s="315">
        <f t="shared" si="34"/>
        <v>100</v>
      </c>
      <c r="I164" s="319"/>
      <c r="J164" s="113"/>
      <c r="K164" s="323"/>
      <c r="L164" s="324">
        <f t="shared" si="18"/>
        <v>0</v>
      </c>
      <c r="M164" s="325">
        <f t="shared" si="19"/>
        <v>0</v>
      </c>
      <c r="N164" s="228"/>
      <c r="O164" s="223">
        <f t="shared" si="20"/>
        <v>0</v>
      </c>
      <c r="P164" s="223"/>
      <c r="Q164" s="109">
        <f t="shared" si="35"/>
        <v>0</v>
      </c>
      <c r="R164" s="109">
        <f t="shared" si="36"/>
        <v>0</v>
      </c>
      <c r="S164" s="116">
        <f t="shared" si="37"/>
        <v>0</v>
      </c>
      <c r="T164" s="106"/>
    </row>
    <row r="165" spans="2:20" ht="22.8" x14ac:dyDescent="0.65">
      <c r="B165" s="221" t="s">
        <v>192</v>
      </c>
      <c r="C165" s="108" t="s">
        <v>195</v>
      </c>
      <c r="D165" s="308">
        <v>24</v>
      </c>
      <c r="E165" s="366">
        <v>58.25</v>
      </c>
      <c r="F165" s="308">
        <v>61</v>
      </c>
      <c r="G165" s="308"/>
      <c r="H165" s="308">
        <f t="shared" si="34"/>
        <v>61</v>
      </c>
      <c r="I165" s="319">
        <v>34</v>
      </c>
      <c r="J165" s="113"/>
      <c r="K165" s="323"/>
      <c r="L165" s="324">
        <f t="shared" si="18"/>
        <v>34</v>
      </c>
      <c r="M165" s="325">
        <f t="shared" si="19"/>
        <v>2074</v>
      </c>
      <c r="N165" s="228"/>
      <c r="O165" s="223">
        <f t="shared" si="20"/>
        <v>0</v>
      </c>
      <c r="P165" s="223"/>
      <c r="Q165" s="109">
        <f t="shared" si="35"/>
        <v>2074</v>
      </c>
      <c r="R165" s="109">
        <f t="shared" si="36"/>
        <v>0</v>
      </c>
      <c r="S165" s="116">
        <f t="shared" si="37"/>
        <v>2074</v>
      </c>
      <c r="T165" s="106"/>
    </row>
    <row r="166" spans="2:20" ht="22.8" x14ac:dyDescent="0.65">
      <c r="B166" s="221" t="s">
        <v>196</v>
      </c>
      <c r="C166" s="108" t="s">
        <v>197</v>
      </c>
      <c r="D166" s="308">
        <v>12</v>
      </c>
      <c r="E166" s="309">
        <v>36.33</v>
      </c>
      <c r="F166" s="310">
        <v>38</v>
      </c>
      <c r="G166" s="314"/>
      <c r="H166" s="315">
        <f t="shared" si="34"/>
        <v>38</v>
      </c>
      <c r="I166" s="319"/>
      <c r="J166" s="113"/>
      <c r="K166" s="323"/>
      <c r="L166" s="324">
        <f t="shared" ref="L166:L174" si="38">I166-K166</f>
        <v>0</v>
      </c>
      <c r="M166" s="325">
        <f t="shared" ref="M166:M174" si="39">L166*H166</f>
        <v>0</v>
      </c>
      <c r="N166" s="228"/>
      <c r="O166" s="223">
        <f t="shared" ref="O166:O174" si="40">N166*H166</f>
        <v>0</v>
      </c>
      <c r="P166" s="223"/>
      <c r="Q166" s="109">
        <f t="shared" si="35"/>
        <v>0</v>
      </c>
      <c r="R166" s="109">
        <f t="shared" si="36"/>
        <v>0</v>
      </c>
      <c r="S166" s="116">
        <f t="shared" si="37"/>
        <v>0</v>
      </c>
      <c r="T166" s="106"/>
    </row>
    <row r="167" spans="2:20" ht="22.8" x14ac:dyDescent="0.65">
      <c r="B167" s="221" t="s">
        <v>198</v>
      </c>
      <c r="C167" s="114" t="s">
        <v>199</v>
      </c>
      <c r="D167" s="315">
        <v>48</v>
      </c>
      <c r="E167" s="316"/>
      <c r="F167" s="315">
        <v>65</v>
      </c>
      <c r="G167" s="315">
        <v>10</v>
      </c>
      <c r="H167" s="315">
        <f t="shared" si="34"/>
        <v>55</v>
      </c>
      <c r="I167" s="319"/>
      <c r="J167" s="113"/>
      <c r="K167" s="323"/>
      <c r="L167" s="324">
        <f t="shared" si="38"/>
        <v>0</v>
      </c>
      <c r="M167" s="325">
        <f t="shared" si="39"/>
        <v>0</v>
      </c>
      <c r="N167" s="228"/>
      <c r="O167" s="223">
        <f t="shared" si="40"/>
        <v>0</v>
      </c>
      <c r="P167" s="223"/>
      <c r="Q167" s="109">
        <f t="shared" si="35"/>
        <v>0</v>
      </c>
      <c r="R167" s="109">
        <f t="shared" si="36"/>
        <v>0</v>
      </c>
      <c r="S167" s="116">
        <f t="shared" si="37"/>
        <v>0</v>
      </c>
      <c r="T167" s="106"/>
    </row>
    <row r="168" spans="2:20" ht="22.8" x14ac:dyDescent="0.65">
      <c r="B168" s="221" t="s">
        <v>198</v>
      </c>
      <c r="C168" s="114" t="s">
        <v>200</v>
      </c>
      <c r="D168" s="315">
        <v>24</v>
      </c>
      <c r="E168" s="316"/>
      <c r="F168" s="315">
        <v>154</v>
      </c>
      <c r="G168" s="315">
        <v>20</v>
      </c>
      <c r="H168" s="315">
        <f t="shared" si="34"/>
        <v>134</v>
      </c>
      <c r="I168" s="319"/>
      <c r="J168" s="113"/>
      <c r="K168" s="323"/>
      <c r="L168" s="324">
        <f t="shared" si="38"/>
        <v>0</v>
      </c>
      <c r="M168" s="325">
        <f t="shared" si="39"/>
        <v>0</v>
      </c>
      <c r="N168" s="228"/>
      <c r="O168" s="223">
        <f t="shared" si="40"/>
        <v>0</v>
      </c>
      <c r="P168" s="223"/>
      <c r="Q168" s="109">
        <f t="shared" si="35"/>
        <v>0</v>
      </c>
      <c r="R168" s="109">
        <f t="shared" si="36"/>
        <v>0</v>
      </c>
      <c r="S168" s="116">
        <f t="shared" si="37"/>
        <v>0</v>
      </c>
      <c r="T168" s="106"/>
    </row>
    <row r="169" spans="2:20" ht="22.8" x14ac:dyDescent="0.65">
      <c r="B169" s="221" t="s">
        <v>198</v>
      </c>
      <c r="C169" s="114" t="s">
        <v>201</v>
      </c>
      <c r="D169" s="315">
        <v>12</v>
      </c>
      <c r="E169" s="316"/>
      <c r="F169" s="315">
        <v>310</v>
      </c>
      <c r="G169" s="315">
        <v>40</v>
      </c>
      <c r="H169" s="315">
        <f t="shared" si="34"/>
        <v>270</v>
      </c>
      <c r="I169" s="319"/>
      <c r="J169" s="113"/>
      <c r="K169" s="323"/>
      <c r="L169" s="324">
        <f t="shared" si="38"/>
        <v>0</v>
      </c>
      <c r="M169" s="325">
        <f t="shared" si="39"/>
        <v>0</v>
      </c>
      <c r="N169" s="228"/>
      <c r="O169" s="223">
        <f t="shared" si="40"/>
        <v>0</v>
      </c>
      <c r="P169" s="223"/>
      <c r="Q169" s="109">
        <f t="shared" si="35"/>
        <v>0</v>
      </c>
      <c r="R169" s="109">
        <f t="shared" si="36"/>
        <v>0</v>
      </c>
      <c r="S169" s="116">
        <f t="shared" si="37"/>
        <v>0</v>
      </c>
      <c r="T169" s="106"/>
    </row>
    <row r="170" spans="2:20" ht="22.8" x14ac:dyDescent="0.65">
      <c r="B170" s="221" t="s">
        <v>198</v>
      </c>
      <c r="C170" s="114" t="s">
        <v>202</v>
      </c>
      <c r="D170" s="315">
        <v>3</v>
      </c>
      <c r="E170" s="316"/>
      <c r="F170" s="315">
        <v>1750</v>
      </c>
      <c r="G170" s="315"/>
      <c r="H170" s="315">
        <f t="shared" si="34"/>
        <v>1750</v>
      </c>
      <c r="I170" s="319"/>
      <c r="J170" s="113"/>
      <c r="K170" s="323"/>
      <c r="L170" s="324">
        <f t="shared" si="38"/>
        <v>0</v>
      </c>
      <c r="M170" s="325">
        <f t="shared" si="39"/>
        <v>0</v>
      </c>
      <c r="N170" s="228"/>
      <c r="O170" s="223">
        <f t="shared" si="40"/>
        <v>0</v>
      </c>
      <c r="P170" s="223"/>
      <c r="Q170" s="109">
        <f t="shared" si="35"/>
        <v>0</v>
      </c>
      <c r="R170" s="109">
        <f t="shared" si="36"/>
        <v>0</v>
      </c>
      <c r="S170" s="116">
        <f t="shared" si="37"/>
        <v>0</v>
      </c>
      <c r="T170" s="106"/>
    </row>
    <row r="171" spans="2:20" ht="22.8" x14ac:dyDescent="0.65">
      <c r="B171" s="221" t="s">
        <v>198</v>
      </c>
      <c r="C171" s="114" t="s">
        <v>203</v>
      </c>
      <c r="D171" s="315">
        <v>15</v>
      </c>
      <c r="E171" s="316"/>
      <c r="F171" s="315">
        <v>375</v>
      </c>
      <c r="G171" s="315"/>
      <c r="H171" s="315">
        <f t="shared" si="34"/>
        <v>375</v>
      </c>
      <c r="I171" s="319"/>
      <c r="J171" s="113"/>
      <c r="K171" s="323"/>
      <c r="L171" s="324">
        <f t="shared" si="38"/>
        <v>0</v>
      </c>
      <c r="M171" s="325">
        <f t="shared" si="39"/>
        <v>0</v>
      </c>
      <c r="N171" s="228"/>
      <c r="O171" s="223">
        <f t="shared" si="40"/>
        <v>0</v>
      </c>
      <c r="P171" s="223"/>
      <c r="Q171" s="109">
        <f t="shared" si="35"/>
        <v>0</v>
      </c>
      <c r="R171" s="109">
        <f t="shared" si="36"/>
        <v>0</v>
      </c>
      <c r="S171" s="116">
        <f t="shared" si="37"/>
        <v>0</v>
      </c>
      <c r="T171" s="106"/>
    </row>
    <row r="172" spans="2:20" ht="22.8" x14ac:dyDescent="0.65">
      <c r="B172" s="133"/>
      <c r="C172" s="115" t="s">
        <v>325</v>
      </c>
      <c r="D172" s="315">
        <v>15</v>
      </c>
      <c r="E172" s="316"/>
      <c r="F172" s="315">
        <v>375</v>
      </c>
      <c r="G172" s="315"/>
      <c r="H172" s="315">
        <v>7.88</v>
      </c>
      <c r="I172" s="319"/>
      <c r="J172" s="113"/>
      <c r="K172" s="323"/>
      <c r="L172" s="324">
        <f t="shared" si="38"/>
        <v>0</v>
      </c>
      <c r="M172" s="325">
        <f t="shared" si="39"/>
        <v>0</v>
      </c>
      <c r="N172" s="222"/>
      <c r="O172" s="346">
        <f t="shared" si="40"/>
        <v>0</v>
      </c>
      <c r="P172" s="223"/>
      <c r="Q172" s="109">
        <f t="shared" si="35"/>
        <v>0</v>
      </c>
      <c r="R172" s="109">
        <f t="shared" si="36"/>
        <v>0</v>
      </c>
      <c r="S172" s="116">
        <f t="shared" si="37"/>
        <v>0</v>
      </c>
      <c r="T172" s="106"/>
    </row>
    <row r="173" spans="2:20" ht="19.8" x14ac:dyDescent="0.3">
      <c r="B173" s="133"/>
      <c r="C173" s="115"/>
      <c r="D173" s="317"/>
      <c r="E173" s="317"/>
      <c r="F173" s="311"/>
      <c r="G173" s="311"/>
      <c r="H173" s="317"/>
      <c r="I173" s="330"/>
      <c r="J173" s="113"/>
      <c r="K173" s="330"/>
      <c r="L173" s="220">
        <f t="shared" si="38"/>
        <v>0</v>
      </c>
      <c r="M173" s="220">
        <f t="shared" si="39"/>
        <v>0</v>
      </c>
      <c r="N173" s="228"/>
      <c r="O173" s="223">
        <f t="shared" si="40"/>
        <v>0</v>
      </c>
      <c r="P173" s="223"/>
      <c r="Q173" s="109">
        <f t="shared" si="35"/>
        <v>0</v>
      </c>
      <c r="R173" s="109">
        <f t="shared" si="36"/>
        <v>0</v>
      </c>
      <c r="S173" s="116">
        <f t="shared" si="37"/>
        <v>0</v>
      </c>
      <c r="T173" s="106"/>
    </row>
    <row r="174" spans="2:20" ht="19.8" x14ac:dyDescent="0.3">
      <c r="B174" s="133"/>
      <c r="C174" s="115"/>
      <c r="D174" s="114"/>
      <c r="E174" s="114"/>
      <c r="F174" s="220"/>
      <c r="G174" s="220"/>
      <c r="H174" s="114"/>
      <c r="I174" s="330"/>
      <c r="J174" s="113"/>
      <c r="K174" s="330"/>
      <c r="L174" s="220">
        <f t="shared" si="38"/>
        <v>0</v>
      </c>
      <c r="M174" s="220">
        <f t="shared" si="39"/>
        <v>0</v>
      </c>
      <c r="N174" s="228"/>
      <c r="O174" s="223">
        <f t="shared" si="40"/>
        <v>0</v>
      </c>
      <c r="P174" s="223"/>
      <c r="Q174" s="109">
        <f t="shared" si="35"/>
        <v>0</v>
      </c>
      <c r="R174" s="109">
        <f t="shared" si="36"/>
        <v>0</v>
      </c>
      <c r="S174" s="116">
        <f t="shared" si="37"/>
        <v>0</v>
      </c>
      <c r="T174" s="106"/>
    </row>
    <row r="175" spans="2:20" ht="19.8" x14ac:dyDescent="0.35">
      <c r="B175" s="133"/>
      <c r="C175" s="228"/>
      <c r="D175" s="232"/>
      <c r="E175" s="232"/>
      <c r="F175" s="232"/>
      <c r="G175" s="232"/>
      <c r="H175" s="232"/>
      <c r="I175" s="373"/>
      <c r="J175" s="232"/>
      <c r="K175" s="232"/>
      <c r="L175" s="232"/>
      <c r="M175" s="220"/>
      <c r="N175" s="232"/>
      <c r="O175" s="233"/>
      <c r="P175" s="233"/>
      <c r="Q175" s="116"/>
      <c r="R175" s="116"/>
      <c r="S175" s="116"/>
      <c r="T175" s="106"/>
    </row>
    <row r="176" spans="2:20" ht="25.8" x14ac:dyDescent="0.55000000000000004">
      <c r="B176" s="133"/>
      <c r="C176" s="228"/>
      <c r="D176" s="268"/>
      <c r="E176" s="268"/>
      <c r="F176" s="268"/>
      <c r="G176" s="268"/>
      <c r="H176" s="269"/>
      <c r="I176" s="269"/>
      <c r="J176" s="848" t="s">
        <v>204</v>
      </c>
      <c r="K176" s="848"/>
      <c r="L176" s="848"/>
      <c r="M176" s="349">
        <f>SUM(M97:M175)</f>
        <v>25511</v>
      </c>
      <c r="N176" s="348" t="s">
        <v>205</v>
      </c>
      <c r="O176" s="351">
        <f>SUM(O97:O175)</f>
        <v>0</v>
      </c>
      <c r="P176" s="270">
        <f>SUM(P97:P175)</f>
        <v>0</v>
      </c>
      <c r="Q176" s="271">
        <f>SUM(Q97:Q175)</f>
        <v>35489</v>
      </c>
      <c r="R176" s="271">
        <f>SUM(R97:R175)</f>
        <v>9978</v>
      </c>
      <c r="S176" s="272">
        <f>SUM(S97:S175)</f>
        <v>25511</v>
      </c>
      <c r="T176" s="267">
        <f>R176+S176</f>
        <v>35489</v>
      </c>
    </row>
    <row r="177" spans="2:20" ht="25.8" x14ac:dyDescent="0.7">
      <c r="B177" s="105"/>
      <c r="C177" s="117"/>
      <c r="D177" s="859"/>
      <c r="E177" s="859"/>
      <c r="F177" s="859"/>
      <c r="G177" s="460"/>
      <c r="H177" s="118"/>
      <c r="I177" s="969" t="s">
        <v>328</v>
      </c>
      <c r="J177" s="969"/>
      <c r="K177" s="969"/>
      <c r="L177" s="969"/>
      <c r="M177" s="350">
        <f>O176</f>
        <v>0</v>
      </c>
      <c r="N177" s="461"/>
      <c r="O177" s="119"/>
      <c r="P177" s="220"/>
      <c r="Q177" s="120"/>
      <c r="R177" s="120"/>
      <c r="S177" s="106"/>
      <c r="T177" s="106"/>
    </row>
    <row r="178" spans="2:20" ht="25.8" x14ac:dyDescent="0.7">
      <c r="B178" s="133"/>
      <c r="C178" s="436"/>
      <c r="D178" s="467"/>
      <c r="E178" s="467"/>
      <c r="F178" s="467"/>
      <c r="G178" s="467"/>
      <c r="H178" s="118"/>
      <c r="I178" s="484"/>
      <c r="J178" s="484"/>
      <c r="K178" s="484"/>
      <c r="L178" s="484"/>
      <c r="M178" s="485"/>
      <c r="N178" s="469"/>
      <c r="O178" s="119"/>
      <c r="P178" s="119"/>
      <c r="Q178" s="120"/>
      <c r="R178" s="120"/>
      <c r="S178" s="106"/>
      <c r="T178" s="106"/>
    </row>
    <row r="179" spans="2:20" ht="25.8" customHeight="1" x14ac:dyDescent="0.55000000000000004">
      <c r="B179" s="133"/>
      <c r="C179" s="960" t="s">
        <v>399</v>
      </c>
      <c r="D179" s="960"/>
      <c r="E179" s="960"/>
      <c r="F179" s="960"/>
      <c r="G179" s="960"/>
      <c r="H179" s="960"/>
      <c r="I179" s="960"/>
      <c r="J179" s="960"/>
      <c r="K179" s="960"/>
      <c r="L179" s="960"/>
      <c r="M179" s="960"/>
      <c r="N179" s="469"/>
      <c r="O179" s="119"/>
      <c r="P179" s="119"/>
      <c r="Q179" s="120"/>
      <c r="R179" s="120"/>
      <c r="S179" s="106"/>
      <c r="T179" s="106"/>
    </row>
    <row r="180" spans="2:20" ht="25.8" customHeight="1" x14ac:dyDescent="0.55000000000000004">
      <c r="B180" s="105"/>
      <c r="C180" s="959">
        <f ca="1">TODAY()</f>
        <v>46291</v>
      </c>
      <c r="D180" s="959"/>
      <c r="E180" s="959"/>
      <c r="F180" s="424"/>
      <c r="G180" s="468"/>
      <c r="H180" s="959">
        <f ca="1">TODAY()</f>
        <v>46291</v>
      </c>
      <c r="I180" s="959"/>
      <c r="J180" s="959"/>
      <c r="K180" s="959"/>
      <c r="L180" s="959"/>
      <c r="M180" s="959"/>
      <c r="N180" s="469"/>
      <c r="O180" s="469"/>
      <c r="P180" s="435"/>
      <c r="Q180" s="120"/>
      <c r="R180" s="120"/>
      <c r="S180" s="106"/>
      <c r="T180" s="106"/>
    </row>
    <row r="181" spans="2:20" ht="25.8" customHeight="1" x14ac:dyDescent="0.7">
      <c r="B181" s="105"/>
      <c r="C181" s="973" t="s">
        <v>401</v>
      </c>
      <c r="D181" s="974"/>
      <c r="E181" s="975"/>
      <c r="F181" s="424"/>
      <c r="G181" s="468"/>
      <c r="H181" s="966" t="s">
        <v>400</v>
      </c>
      <c r="I181" s="967"/>
      <c r="J181" s="967"/>
      <c r="K181" s="967"/>
      <c r="L181" s="967"/>
      <c r="M181" s="968"/>
      <c r="N181" s="469"/>
      <c r="O181" s="469"/>
      <c r="P181" s="435"/>
      <c r="Q181" s="120"/>
      <c r="R181" s="120"/>
      <c r="S181" s="106"/>
      <c r="T181" s="106"/>
    </row>
    <row r="182" spans="2:20" ht="22.8" x14ac:dyDescent="0.55000000000000004">
      <c r="B182" s="105"/>
      <c r="C182" s="483" t="s">
        <v>264</v>
      </c>
      <c r="D182" s="972">
        <f>Q176</f>
        <v>35489</v>
      </c>
      <c r="E182" s="971"/>
      <c r="F182" s="424"/>
      <c r="G182" s="468"/>
      <c r="H182" s="961" t="s">
        <v>264</v>
      </c>
      <c r="I182" s="962"/>
      <c r="J182" s="962"/>
      <c r="K182" s="963"/>
      <c r="L182" s="964">
        <f>Q83</f>
        <v>17741</v>
      </c>
      <c r="M182" s="965"/>
      <c r="N182" s="469"/>
      <c r="O182" s="469"/>
      <c r="P182" s="435"/>
      <c r="Q182" s="120"/>
      <c r="R182" s="120"/>
      <c r="S182" s="106"/>
      <c r="T182" s="106"/>
    </row>
    <row r="183" spans="2:20" ht="22.8" x14ac:dyDescent="0.55000000000000004">
      <c r="B183" s="105"/>
      <c r="C183" s="483" t="s">
        <v>385</v>
      </c>
      <c r="D183" s="972">
        <f>R176</f>
        <v>9978</v>
      </c>
      <c r="E183" s="971"/>
      <c r="F183" s="424"/>
      <c r="G183" s="468"/>
      <c r="H183" s="961" t="s">
        <v>385</v>
      </c>
      <c r="I183" s="962"/>
      <c r="J183" s="962"/>
      <c r="K183" s="963"/>
      <c r="L183" s="964">
        <f>R83</f>
        <v>4589</v>
      </c>
      <c r="M183" s="965"/>
      <c r="N183" s="469"/>
      <c r="O183" s="469"/>
      <c r="P183" s="435"/>
      <c r="Q183" s="120"/>
      <c r="R183" s="120"/>
      <c r="S183" s="106"/>
      <c r="T183" s="106"/>
    </row>
    <row r="184" spans="2:20" ht="22.8" x14ac:dyDescent="0.55000000000000004">
      <c r="B184" s="105"/>
      <c r="C184" s="483" t="s">
        <v>386</v>
      </c>
      <c r="D184" s="972">
        <f>S176</f>
        <v>25511</v>
      </c>
      <c r="E184" s="971"/>
      <c r="F184" s="424"/>
      <c r="G184" s="468"/>
      <c r="H184" s="961" t="s">
        <v>386</v>
      </c>
      <c r="I184" s="962"/>
      <c r="J184" s="962"/>
      <c r="K184" s="963"/>
      <c r="L184" s="964">
        <f>S83</f>
        <v>13152</v>
      </c>
      <c r="M184" s="965"/>
      <c r="N184" s="469"/>
      <c r="O184" s="469"/>
      <c r="P184" s="435"/>
      <c r="Q184" s="120"/>
      <c r="R184" s="120"/>
      <c r="S184" s="106"/>
      <c r="T184" s="106"/>
    </row>
    <row r="185" spans="2:20" ht="22.8" x14ac:dyDescent="0.55000000000000004">
      <c r="B185" s="105"/>
      <c r="C185" s="483" t="s">
        <v>261</v>
      </c>
      <c r="D185" s="976"/>
      <c r="E185" s="976"/>
      <c r="F185" s="424"/>
      <c r="G185" s="468"/>
      <c r="H185" s="961" t="s">
        <v>261</v>
      </c>
      <c r="I185" s="962"/>
      <c r="J185" s="962"/>
      <c r="K185" s="963"/>
      <c r="L185" s="965"/>
      <c r="M185" s="965"/>
      <c r="N185" s="469"/>
      <c r="O185" s="469"/>
      <c r="P185" s="435"/>
      <c r="Q185" s="120"/>
      <c r="R185" s="120"/>
      <c r="S185" s="106"/>
      <c r="T185" s="106"/>
    </row>
    <row r="186" spans="2:20" ht="22.8" x14ac:dyDescent="0.55000000000000004">
      <c r="B186" s="105"/>
      <c r="C186" s="483" t="s">
        <v>387</v>
      </c>
      <c r="D186" s="971"/>
      <c r="E186" s="971"/>
      <c r="F186" s="424"/>
      <c r="G186" s="468"/>
      <c r="H186" s="961" t="s">
        <v>397</v>
      </c>
      <c r="I186" s="962"/>
      <c r="J186" s="962"/>
      <c r="K186" s="963"/>
      <c r="L186" s="965"/>
      <c r="M186" s="965"/>
      <c r="N186" s="469"/>
      <c r="O186" s="469"/>
      <c r="P186" s="435"/>
      <c r="Q186" s="120"/>
      <c r="R186" s="120"/>
      <c r="S186" s="106"/>
      <c r="T186" s="106"/>
    </row>
    <row r="187" spans="2:20" ht="22.8" x14ac:dyDescent="0.55000000000000004">
      <c r="B187" s="105"/>
      <c r="C187" s="483" t="s">
        <v>388</v>
      </c>
      <c r="D187" s="972">
        <f>D184-D185-D186</f>
        <v>25511</v>
      </c>
      <c r="E187" s="972"/>
      <c r="F187" s="424"/>
      <c r="G187" s="468"/>
      <c r="H187" s="961" t="s">
        <v>398</v>
      </c>
      <c r="I187" s="962"/>
      <c r="J187" s="962"/>
      <c r="K187" s="963"/>
      <c r="L187" s="964">
        <f>L182-L183--L185--L186</f>
        <v>13152</v>
      </c>
      <c r="M187" s="965"/>
      <c r="N187" s="469"/>
      <c r="O187" s="469"/>
      <c r="P187" s="435"/>
      <c r="Q187" s="120"/>
      <c r="R187" s="120"/>
      <c r="S187" s="106"/>
      <c r="T187" s="106"/>
    </row>
    <row r="188" spans="2:20" ht="25.8" x14ac:dyDescent="0.55000000000000004">
      <c r="B188" s="105"/>
      <c r="C188" s="117"/>
      <c r="D188" s="468"/>
      <c r="E188" s="468"/>
      <c r="F188" s="424"/>
      <c r="G188" s="468"/>
      <c r="H188" s="122"/>
      <c r="I188" s="433"/>
      <c r="J188" s="433"/>
      <c r="K188" s="433"/>
      <c r="L188" s="433"/>
      <c r="M188" s="434"/>
      <c r="N188" s="469"/>
      <c r="O188" s="469"/>
      <c r="P188" s="435"/>
      <c r="Q188" s="120"/>
      <c r="R188" s="120"/>
      <c r="S188" s="106"/>
      <c r="T188" s="106"/>
    </row>
    <row r="189" spans="2:20" ht="25.8" x14ac:dyDescent="0.55000000000000004">
      <c r="B189" s="105"/>
      <c r="C189" s="117"/>
      <c r="D189" s="468"/>
      <c r="E189" s="468"/>
      <c r="F189" s="424"/>
      <c r="G189" s="468"/>
      <c r="H189" s="122"/>
      <c r="I189" s="433"/>
      <c r="J189" s="433"/>
      <c r="K189" s="433"/>
      <c r="L189" s="433"/>
      <c r="M189" s="434"/>
      <c r="N189" s="469"/>
      <c r="O189" s="469"/>
      <c r="P189" s="435"/>
      <c r="Q189" s="120"/>
      <c r="R189" s="120"/>
      <c r="S189" s="106"/>
      <c r="T189" s="106"/>
    </row>
    <row r="190" spans="2:20" ht="25.8" x14ac:dyDescent="0.55000000000000004">
      <c r="B190" s="105"/>
      <c r="C190" s="117"/>
      <c r="D190" s="468"/>
      <c r="E190" s="468"/>
      <c r="F190" s="424"/>
      <c r="G190" s="468"/>
      <c r="H190" s="122"/>
      <c r="I190" s="433"/>
      <c r="J190" s="433"/>
      <c r="K190" s="433"/>
      <c r="L190" s="433"/>
      <c r="M190" s="434"/>
      <c r="N190" s="469"/>
      <c r="O190" s="469"/>
      <c r="P190" s="435"/>
      <c r="Q190" s="120"/>
      <c r="R190" s="120"/>
      <c r="S190" s="106"/>
      <c r="T190" s="106"/>
    </row>
    <row r="191" spans="2:20" ht="25.8" x14ac:dyDescent="0.55000000000000004">
      <c r="B191" s="105"/>
      <c r="C191" s="117"/>
      <c r="D191" s="468"/>
      <c r="E191" s="468"/>
      <c r="F191" s="424"/>
      <c r="G191" s="468"/>
      <c r="H191" s="122"/>
      <c r="I191" s="433"/>
      <c r="J191" s="433"/>
      <c r="K191" s="433"/>
      <c r="L191" s="433"/>
      <c r="M191" s="434"/>
      <c r="N191" s="469"/>
      <c r="O191" s="469"/>
      <c r="P191" s="435"/>
      <c r="Q191" s="120"/>
      <c r="R191" s="120"/>
      <c r="S191" s="106"/>
      <c r="T191" s="106"/>
    </row>
    <row r="192" spans="2:20" ht="25.8" x14ac:dyDescent="0.7">
      <c r="B192" s="105"/>
      <c r="C192" s="125"/>
      <c r="D192" s="110">
        <v>200</v>
      </c>
      <c r="E192" s="110"/>
      <c r="F192" s="261">
        <f t="shared" ref="F192:F198" si="41">D192*E192</f>
        <v>0</v>
      </c>
      <c r="G192" s="126"/>
      <c r="H192" s="263"/>
      <c r="I192" s="120"/>
      <c r="J192" s="120"/>
      <c r="K192" s="123"/>
      <c r="L192" s="127"/>
      <c r="M192" s="481" t="s">
        <v>208</v>
      </c>
      <c r="N192" s="482">
        <f>F199</f>
        <v>11372.580000000002</v>
      </c>
      <c r="O192" s="426"/>
      <c r="P192" s="123"/>
      <c r="Q192" s="120"/>
      <c r="R192" s="120"/>
      <c r="S192" s="106"/>
      <c r="T192" s="106"/>
    </row>
    <row r="193" spans="2:23" ht="19.8" x14ac:dyDescent="0.55000000000000004">
      <c r="B193" s="105"/>
      <c r="C193" s="125"/>
      <c r="D193" s="129">
        <v>100</v>
      </c>
      <c r="E193" s="110"/>
      <c r="F193" s="261">
        <f t="shared" si="41"/>
        <v>0</v>
      </c>
      <c r="G193" s="126"/>
      <c r="H193" s="263"/>
      <c r="I193" s="117"/>
      <c r="J193" s="117"/>
      <c r="K193" s="117"/>
      <c r="L193" s="125"/>
      <c r="M193" s="128" t="s">
        <v>209</v>
      </c>
      <c r="N193" s="286"/>
      <c r="O193" s="427"/>
      <c r="P193" s="117"/>
      <c r="Q193" s="117"/>
      <c r="R193" s="117"/>
      <c r="S193" s="106"/>
      <c r="T193" s="106"/>
    </row>
    <row r="194" spans="2:23" ht="19.8" x14ac:dyDescent="0.55000000000000004">
      <c r="B194" s="131"/>
      <c r="C194" s="132"/>
      <c r="D194" s="129">
        <v>50</v>
      </c>
      <c r="E194" s="110"/>
      <c r="F194" s="261">
        <f t="shared" si="41"/>
        <v>0</v>
      </c>
      <c r="G194" s="126"/>
      <c r="H194" s="263"/>
      <c r="I194" s="117"/>
      <c r="J194" s="117"/>
      <c r="K194" s="117"/>
      <c r="L194" s="125"/>
      <c r="M194" s="128" t="s">
        <v>210</v>
      </c>
      <c r="N194" s="286"/>
      <c r="O194" s="130"/>
      <c r="P194" s="117"/>
      <c r="Q194" s="117"/>
      <c r="R194" s="117"/>
      <c r="S194" s="106"/>
      <c r="T194" s="106"/>
    </row>
    <row r="195" spans="2:23" ht="19.8" x14ac:dyDescent="0.55000000000000004">
      <c r="B195" s="105"/>
      <c r="C195" s="132"/>
      <c r="D195" s="129">
        <v>20</v>
      </c>
      <c r="E195" s="110"/>
      <c r="F195" s="261">
        <f t="shared" si="41"/>
        <v>0</v>
      </c>
      <c r="G195" s="126"/>
      <c r="H195" s="263"/>
      <c r="I195" s="117"/>
      <c r="J195" s="117"/>
      <c r="K195" s="117"/>
      <c r="L195" s="125"/>
      <c r="M195" s="135" t="s">
        <v>121</v>
      </c>
      <c r="N195" s="286"/>
      <c r="O195" s="130"/>
      <c r="P195" s="117"/>
      <c r="Q195" s="117"/>
      <c r="R195" s="117"/>
      <c r="S195" s="106"/>
      <c r="T195" s="106"/>
    </row>
    <row r="196" spans="2:23" ht="19.8" x14ac:dyDescent="0.55000000000000004">
      <c r="B196" s="133"/>
      <c r="C196" s="134"/>
      <c r="D196" s="129">
        <v>10</v>
      </c>
      <c r="E196" s="110"/>
      <c r="F196" s="261">
        <f t="shared" si="41"/>
        <v>0</v>
      </c>
      <c r="G196" s="126"/>
      <c r="H196" s="263"/>
      <c r="I196" s="117"/>
      <c r="J196" s="117"/>
      <c r="K196" s="117"/>
      <c r="L196" s="125"/>
      <c r="M196" s="135"/>
      <c r="N196" s="286"/>
      <c r="O196" s="130"/>
      <c r="P196" s="117"/>
      <c r="Q196" s="117"/>
      <c r="R196" s="117"/>
      <c r="S196" s="106"/>
      <c r="T196" s="106"/>
    </row>
    <row r="197" spans="2:23" ht="19.8" x14ac:dyDescent="0.3">
      <c r="B197" s="105"/>
      <c r="C197" s="125"/>
      <c r="D197" s="129">
        <v>5</v>
      </c>
      <c r="E197" s="129"/>
      <c r="F197" s="261">
        <f t="shared" si="41"/>
        <v>0</v>
      </c>
      <c r="G197" s="126"/>
      <c r="H197" s="263"/>
      <c r="I197" s="117"/>
      <c r="J197" s="117"/>
      <c r="K197" s="117"/>
      <c r="L197" s="125"/>
      <c r="M197" s="375" t="s">
        <v>211</v>
      </c>
      <c r="N197" s="376" t="e">
        <f>#REF!-N192-N193-N194-N195-N196</f>
        <v>#REF!</v>
      </c>
      <c r="O197" s="130"/>
      <c r="P197" s="117"/>
      <c r="Q197" s="117"/>
      <c r="R197" s="117"/>
      <c r="S197" s="106"/>
      <c r="T197" s="106"/>
    </row>
    <row r="198" spans="2:23" ht="19.8" x14ac:dyDescent="0.3">
      <c r="B198" s="105"/>
      <c r="C198" s="125"/>
      <c r="D198" s="129">
        <v>1</v>
      </c>
      <c r="E198" s="129"/>
      <c r="F198" s="261">
        <f t="shared" si="41"/>
        <v>0</v>
      </c>
      <c r="G198" s="126"/>
      <c r="H198" s="263"/>
      <c r="I198" s="117"/>
      <c r="J198" s="117"/>
      <c r="K198" s="117"/>
      <c r="L198" s="117"/>
      <c r="M198" s="117"/>
      <c r="N198" s="423"/>
      <c r="O198" s="117"/>
      <c r="P198" s="117"/>
      <c r="Q198" s="117"/>
      <c r="R198" s="117"/>
      <c r="S198" s="106"/>
      <c r="T198" s="106"/>
    </row>
    <row r="199" spans="2:23" ht="15.6" x14ac:dyDescent="0.3">
      <c r="B199" s="105"/>
      <c r="C199" s="117"/>
      <c r="D199" s="260" t="s">
        <v>212</v>
      </c>
      <c r="E199" s="260"/>
      <c r="F199" s="425">
        <f>SUM(F85:F198)</f>
        <v>11372.580000000002</v>
      </c>
      <c r="G199" s="264"/>
      <c r="H199" s="262"/>
      <c r="I199" s="117"/>
      <c r="J199" s="117"/>
      <c r="K199" s="117"/>
      <c r="L199" s="117"/>
      <c r="M199" s="117"/>
      <c r="N199" s="136"/>
      <c r="O199" s="117"/>
      <c r="P199" s="117"/>
      <c r="Q199" s="117"/>
      <c r="R199" s="117"/>
      <c r="S199" s="106"/>
      <c r="T199" s="106"/>
    </row>
    <row r="200" spans="2:23" ht="15.6" x14ac:dyDescent="0.3">
      <c r="B200" s="105"/>
      <c r="C200" s="117"/>
      <c r="D200" s="117"/>
      <c r="E200" s="117"/>
      <c r="F200" s="117"/>
      <c r="G200" s="117"/>
      <c r="H200" s="117"/>
      <c r="I200" s="117"/>
      <c r="J200" s="117"/>
      <c r="K200" s="117"/>
      <c r="L200" s="117"/>
      <c r="M200" s="117"/>
      <c r="N200" s="117"/>
      <c r="O200" s="117"/>
      <c r="P200" s="117"/>
      <c r="Q200" s="106"/>
      <c r="R200" s="106"/>
      <c r="S200" s="106"/>
      <c r="T200" s="106"/>
    </row>
    <row r="204" spans="2:23" x14ac:dyDescent="0.3">
      <c r="M204" s="842" t="s">
        <v>284</v>
      </c>
      <c r="N204" s="970"/>
      <c r="O204" s="288">
        <f>E209</f>
        <v>0</v>
      </c>
      <c r="P204" s="289"/>
    </row>
    <row r="205" spans="2:23" ht="18" x14ac:dyDescent="0.35">
      <c r="C205" s="287" t="s">
        <v>275</v>
      </c>
      <c r="D205" s="287"/>
      <c r="E205" s="287"/>
      <c r="F205" s="287">
        <v>33256.99</v>
      </c>
      <c r="G205" s="287"/>
      <c r="H205" s="287"/>
      <c r="I205" s="287" t="s">
        <v>276</v>
      </c>
      <c r="J205" s="287">
        <v>0</v>
      </c>
      <c r="M205" s="842" t="s">
        <v>285</v>
      </c>
      <c r="N205" s="843"/>
      <c r="O205" s="290">
        <f>I209</f>
        <v>0</v>
      </c>
      <c r="P205" s="291"/>
      <c r="R205" t="s">
        <v>320</v>
      </c>
      <c r="V205" t="s">
        <v>323</v>
      </c>
    </row>
    <row r="206" spans="2:23" ht="18" x14ac:dyDescent="0.35">
      <c r="C206" s="287" t="s">
        <v>277</v>
      </c>
      <c r="D206" s="287"/>
      <c r="E206" s="287"/>
      <c r="F206" s="287">
        <v>31613</v>
      </c>
      <c r="G206" s="287"/>
      <c r="H206" s="287"/>
      <c r="I206" s="287" t="s">
        <v>278</v>
      </c>
      <c r="J206" s="287">
        <v>21987.83</v>
      </c>
      <c r="M206" s="844" t="s">
        <v>262</v>
      </c>
      <c r="N206" s="845"/>
      <c r="O206" s="288">
        <f>G209</f>
        <v>0</v>
      </c>
      <c r="P206" s="291"/>
    </row>
    <row r="207" spans="2:23" ht="18" x14ac:dyDescent="0.35">
      <c r="C207" s="287" t="s">
        <v>279</v>
      </c>
      <c r="D207" s="287"/>
      <c r="E207" s="287"/>
      <c r="F207" s="287">
        <v>450</v>
      </c>
      <c r="G207" s="287"/>
      <c r="H207" s="287"/>
      <c r="I207" s="287" t="s">
        <v>280</v>
      </c>
      <c r="J207" s="287">
        <v>11269.16</v>
      </c>
      <c r="M207" s="846"/>
      <c r="N207" s="847"/>
      <c r="O207" s="292">
        <f>O205+O206-O204</f>
        <v>0</v>
      </c>
      <c r="P207" s="291"/>
      <c r="R207" t="s">
        <v>321</v>
      </c>
      <c r="W207" t="s">
        <v>322</v>
      </c>
    </row>
    <row r="208" spans="2:23" ht="18" x14ac:dyDescent="0.35">
      <c r="C208" s="287" t="s">
        <v>281</v>
      </c>
      <c r="D208" s="287"/>
      <c r="E208" s="287"/>
      <c r="F208" s="287">
        <v>1215</v>
      </c>
      <c r="G208" s="287"/>
      <c r="H208" s="287"/>
      <c r="I208" s="287" t="s">
        <v>282</v>
      </c>
      <c r="J208" s="287">
        <v>0</v>
      </c>
      <c r="M208" s="839" t="s">
        <v>286</v>
      </c>
      <c r="N208" s="840"/>
      <c r="O208" s="840"/>
      <c r="P208" s="288" t="e">
        <f>O205/O204*100-100</f>
        <v>#DIV/0!</v>
      </c>
    </row>
    <row r="209" spans="3:24" ht="18" x14ac:dyDescent="0.35">
      <c r="C209" s="287" t="s">
        <v>283</v>
      </c>
      <c r="D209" s="287"/>
      <c r="E209" s="287"/>
      <c r="F209" s="287">
        <v>21.01</v>
      </c>
      <c r="G209" s="287"/>
      <c r="H209" s="287"/>
      <c r="I209" s="287"/>
      <c r="J209" s="287"/>
    </row>
    <row r="213" spans="3:24" x14ac:dyDescent="0.3">
      <c r="C213" s="333"/>
      <c r="D213" s="334" t="s">
        <v>287</v>
      </c>
      <c r="E213" s="334"/>
      <c r="F213" s="334"/>
      <c r="G213" s="334"/>
      <c r="H213" s="334"/>
      <c r="I213" s="334"/>
      <c r="J213" s="334"/>
      <c r="K213" s="334"/>
      <c r="L213" s="334"/>
      <c r="M213" s="334"/>
      <c r="N213" s="334"/>
      <c r="O213" s="334"/>
      <c r="P213" s="334"/>
      <c r="Q213" s="334"/>
      <c r="R213" s="334"/>
      <c r="S213" s="334"/>
      <c r="T213" s="334"/>
      <c r="U213" s="334"/>
      <c r="V213" s="334"/>
      <c r="W213" s="334"/>
      <c r="X213" s="334"/>
    </row>
    <row r="214" spans="3:24" x14ac:dyDescent="0.3">
      <c r="C214" s="333" t="s">
        <v>288</v>
      </c>
      <c r="D214" s="334" t="s">
        <v>289</v>
      </c>
      <c r="E214" s="334"/>
      <c r="F214" s="334"/>
      <c r="G214" s="334"/>
      <c r="H214" s="334"/>
      <c r="I214" s="334"/>
      <c r="J214" s="334"/>
      <c r="K214" s="334"/>
      <c r="L214" s="334"/>
      <c r="M214" s="334"/>
      <c r="N214" s="334"/>
      <c r="O214" s="334"/>
      <c r="P214" s="334"/>
      <c r="Q214" s="334"/>
      <c r="R214" s="334"/>
      <c r="S214" s="334"/>
      <c r="T214" s="334"/>
      <c r="U214" s="334"/>
      <c r="V214" s="334"/>
      <c r="W214" s="334"/>
      <c r="X214" s="334"/>
    </row>
    <row r="215" spans="3:24" x14ac:dyDescent="0.3">
      <c r="C215" s="333" t="s">
        <v>290</v>
      </c>
      <c r="D215" s="334" t="s">
        <v>289</v>
      </c>
      <c r="E215" s="334"/>
      <c r="F215" s="334"/>
      <c r="G215" s="334"/>
      <c r="H215" s="334"/>
      <c r="I215" s="334"/>
      <c r="J215" s="334"/>
      <c r="K215" s="334"/>
      <c r="L215" s="334"/>
      <c r="M215" s="334"/>
      <c r="N215" s="334"/>
      <c r="O215" s="334"/>
      <c r="P215" s="334"/>
      <c r="Q215" s="334"/>
      <c r="R215" s="334"/>
      <c r="S215" s="334"/>
      <c r="T215" s="334"/>
      <c r="U215" s="334"/>
      <c r="V215" s="334"/>
      <c r="W215" s="334"/>
      <c r="X215" s="334"/>
    </row>
    <row r="216" spans="3:24" x14ac:dyDescent="0.3">
      <c r="C216" s="333" t="s">
        <v>291</v>
      </c>
      <c r="D216" s="334" t="s">
        <v>292</v>
      </c>
      <c r="E216" s="334"/>
      <c r="F216" s="334"/>
      <c r="G216" s="334"/>
      <c r="H216" s="334"/>
      <c r="I216" s="334"/>
      <c r="J216" s="334"/>
      <c r="K216" s="334"/>
      <c r="L216" s="334"/>
      <c r="M216" s="334"/>
      <c r="N216" s="334"/>
      <c r="O216" s="334"/>
      <c r="P216" s="334"/>
      <c r="Q216" s="334"/>
      <c r="R216" s="334"/>
      <c r="S216" s="334"/>
      <c r="T216" s="334"/>
      <c r="U216" s="334"/>
      <c r="V216" s="334"/>
      <c r="W216" s="334"/>
      <c r="X216" s="334"/>
    </row>
    <row r="217" spans="3:24" x14ac:dyDescent="0.3">
      <c r="C217" s="334"/>
      <c r="D217" s="334"/>
      <c r="E217" s="334"/>
      <c r="F217" s="334"/>
      <c r="G217" s="334"/>
      <c r="H217" s="334"/>
      <c r="I217" s="334"/>
      <c r="J217" s="334"/>
      <c r="K217" s="334"/>
      <c r="L217" s="334"/>
      <c r="M217" s="334"/>
      <c r="N217" s="334"/>
      <c r="O217" s="334"/>
      <c r="P217" s="334"/>
      <c r="Q217" s="334"/>
      <c r="R217" s="334"/>
      <c r="S217" s="334"/>
      <c r="T217" s="334"/>
      <c r="U217" s="334"/>
      <c r="V217" s="334"/>
      <c r="W217" s="334"/>
      <c r="X217" s="334"/>
    </row>
    <row r="218" spans="3:24" x14ac:dyDescent="0.3">
      <c r="C218" s="334"/>
      <c r="D218" s="334"/>
      <c r="E218" s="334"/>
      <c r="F218" s="334"/>
      <c r="G218" s="334"/>
      <c r="H218" s="334"/>
      <c r="I218" s="334"/>
      <c r="J218" s="334"/>
      <c r="K218" s="334"/>
      <c r="L218" s="334"/>
      <c r="M218" s="334"/>
      <c r="N218" s="334"/>
      <c r="O218" s="334"/>
      <c r="P218" s="334"/>
      <c r="Q218" s="334"/>
      <c r="R218" s="334"/>
      <c r="S218" s="334"/>
      <c r="T218" s="334"/>
      <c r="U218" s="334"/>
      <c r="V218" s="334"/>
      <c r="W218" s="334"/>
      <c r="X218" s="334"/>
    </row>
    <row r="219" spans="3:24" x14ac:dyDescent="0.3">
      <c r="C219" s="334"/>
      <c r="D219" s="334"/>
      <c r="E219" s="334"/>
      <c r="F219" s="334"/>
      <c r="G219" s="334"/>
      <c r="H219" s="334"/>
      <c r="I219" s="334"/>
      <c r="J219" s="334"/>
      <c r="K219" s="334"/>
      <c r="L219" s="334"/>
      <c r="M219" s="334"/>
      <c r="N219" s="334"/>
      <c r="O219" s="334"/>
      <c r="P219" s="334"/>
      <c r="Q219" s="334"/>
      <c r="R219" s="334"/>
      <c r="S219" s="334"/>
      <c r="T219" s="334"/>
      <c r="U219" s="334"/>
      <c r="V219" s="334"/>
      <c r="W219" s="334"/>
      <c r="X219" s="334"/>
    </row>
    <row r="220" spans="3:24" x14ac:dyDescent="0.3">
      <c r="C220" s="333"/>
      <c r="D220" s="334" t="s">
        <v>293</v>
      </c>
      <c r="E220" s="334"/>
      <c r="F220" s="334"/>
      <c r="G220" s="334"/>
      <c r="H220" s="334"/>
      <c r="I220" s="334"/>
      <c r="J220" s="334"/>
      <c r="K220" s="334"/>
      <c r="L220" s="334"/>
      <c r="M220" s="334"/>
      <c r="N220" s="334"/>
      <c r="O220" s="334"/>
      <c r="P220" s="334"/>
      <c r="Q220" s="334"/>
      <c r="R220" s="334"/>
      <c r="S220" s="334"/>
      <c r="T220" s="334"/>
      <c r="U220" s="334"/>
      <c r="V220" s="334"/>
      <c r="W220" s="334"/>
      <c r="X220" s="334"/>
    </row>
    <row r="221" spans="3:24" x14ac:dyDescent="0.3">
      <c r="C221" s="333"/>
      <c r="D221" s="334"/>
      <c r="E221" s="334"/>
      <c r="F221" s="334"/>
      <c r="G221" s="334"/>
      <c r="H221" s="334"/>
      <c r="I221" s="334"/>
      <c r="J221" s="334"/>
      <c r="K221" s="334"/>
      <c r="L221" s="334"/>
      <c r="M221" s="334"/>
      <c r="N221" s="334"/>
      <c r="O221" s="334"/>
      <c r="P221" s="334"/>
      <c r="Q221" s="334"/>
      <c r="R221" s="334"/>
      <c r="S221" s="334"/>
      <c r="T221" s="334"/>
      <c r="U221" s="334"/>
      <c r="V221" s="334"/>
      <c r="W221" s="334"/>
      <c r="X221" s="334"/>
    </row>
    <row r="222" spans="3:24" x14ac:dyDescent="0.3">
      <c r="C222" s="333"/>
      <c r="D222" s="334"/>
      <c r="E222" s="334"/>
      <c r="F222" s="334"/>
      <c r="G222" s="334"/>
      <c r="H222" s="334"/>
      <c r="I222" s="334"/>
      <c r="J222" s="334"/>
      <c r="K222" s="334"/>
      <c r="L222" s="334"/>
      <c r="M222" s="334"/>
      <c r="N222" s="335"/>
      <c r="O222" s="335"/>
      <c r="P222" s="335"/>
      <c r="Q222" s="334"/>
      <c r="R222" s="334"/>
      <c r="S222" s="334"/>
      <c r="T222" s="334"/>
      <c r="U222" s="334"/>
      <c r="V222" s="334"/>
      <c r="W222" s="334"/>
      <c r="X222" s="334"/>
    </row>
    <row r="223" spans="3:24" x14ac:dyDescent="0.3">
      <c r="C223" s="333"/>
      <c r="D223" s="334"/>
      <c r="E223" s="334"/>
      <c r="F223" s="334"/>
      <c r="G223" s="334"/>
      <c r="H223" s="334"/>
      <c r="I223" s="334"/>
      <c r="J223" s="334"/>
      <c r="K223" s="334"/>
      <c r="L223" s="334"/>
      <c r="M223" s="334"/>
      <c r="N223" s="334"/>
      <c r="O223" s="334"/>
      <c r="P223" s="334"/>
      <c r="Q223" s="334"/>
      <c r="R223" s="334"/>
      <c r="S223" s="334"/>
      <c r="T223" s="334"/>
      <c r="U223" s="334"/>
      <c r="V223" s="334"/>
      <c r="W223" s="334"/>
      <c r="X223" s="334"/>
    </row>
    <row r="224" spans="3:24" x14ac:dyDescent="0.3">
      <c r="C224" s="333"/>
      <c r="D224" s="334" t="s">
        <v>315</v>
      </c>
      <c r="E224" s="334"/>
      <c r="F224" s="334"/>
      <c r="G224" s="334"/>
      <c r="H224" s="334"/>
      <c r="I224" s="334"/>
      <c r="J224" s="334" t="s">
        <v>313</v>
      </c>
      <c r="K224" s="334"/>
      <c r="L224" s="334"/>
      <c r="M224" s="334"/>
      <c r="N224" s="335"/>
      <c r="O224" s="334"/>
      <c r="P224" s="334"/>
      <c r="Q224" s="334"/>
      <c r="R224" s="334"/>
      <c r="S224" s="334"/>
      <c r="T224" s="334"/>
      <c r="U224" s="334"/>
      <c r="V224" s="334"/>
      <c r="W224" s="334"/>
      <c r="X224" s="334"/>
    </row>
    <row r="225" spans="3:24" x14ac:dyDescent="0.3">
      <c r="C225" s="336" t="s">
        <v>294</v>
      </c>
      <c r="D225" s="334" t="s">
        <v>314</v>
      </c>
      <c r="E225" s="334"/>
      <c r="F225" s="334"/>
      <c r="G225" s="334"/>
      <c r="H225" s="334"/>
      <c r="I225" s="334"/>
      <c r="J225" s="334" t="s">
        <v>314</v>
      </c>
      <c r="K225" s="334"/>
      <c r="L225" s="334"/>
      <c r="M225" s="334"/>
      <c r="N225" s="334"/>
      <c r="O225" s="334"/>
      <c r="P225" s="334"/>
      <c r="Q225" s="334"/>
      <c r="R225" s="334"/>
      <c r="S225" s="334"/>
      <c r="T225" s="334"/>
      <c r="U225" s="334"/>
      <c r="V225" s="334"/>
      <c r="W225" s="334"/>
      <c r="X225" s="334"/>
    </row>
    <row r="226" spans="3:24" x14ac:dyDescent="0.3">
      <c r="C226" s="333" t="s">
        <v>295</v>
      </c>
      <c r="D226" s="334" t="s">
        <v>296</v>
      </c>
      <c r="E226" s="334"/>
      <c r="F226" s="334"/>
      <c r="G226" s="334"/>
      <c r="H226" s="334"/>
      <c r="I226" s="334"/>
      <c r="J226" s="334"/>
      <c r="K226" s="334"/>
      <c r="L226" s="334"/>
      <c r="M226" s="334"/>
      <c r="N226" s="334"/>
      <c r="O226" s="334"/>
      <c r="P226" s="334"/>
      <c r="Q226" s="334"/>
      <c r="R226" s="334"/>
      <c r="S226" s="334"/>
      <c r="T226" s="334"/>
      <c r="U226" s="334"/>
      <c r="V226" s="334"/>
      <c r="W226" s="334"/>
      <c r="X226" s="334"/>
    </row>
    <row r="227" spans="3:24" x14ac:dyDescent="0.3">
      <c r="C227" s="334"/>
      <c r="D227" s="334"/>
      <c r="E227" s="334"/>
      <c r="F227" s="334"/>
      <c r="G227" s="334"/>
      <c r="H227" s="334"/>
      <c r="I227" s="334"/>
      <c r="J227" s="334"/>
      <c r="K227" s="334"/>
      <c r="L227" s="334"/>
      <c r="M227" s="334"/>
      <c r="N227" s="334"/>
      <c r="O227" s="334"/>
      <c r="P227" s="334"/>
      <c r="Q227" s="334"/>
      <c r="R227" s="334"/>
      <c r="S227" s="334"/>
      <c r="T227" s="334"/>
      <c r="U227" s="334"/>
      <c r="V227" s="334"/>
      <c r="W227" s="334"/>
      <c r="X227" s="334"/>
    </row>
    <row r="228" spans="3:24" x14ac:dyDescent="0.3">
      <c r="C228" s="334"/>
      <c r="D228" s="334"/>
      <c r="E228" s="334"/>
      <c r="F228" s="334"/>
      <c r="G228" s="334"/>
      <c r="H228" s="334"/>
      <c r="I228" s="334"/>
      <c r="J228" s="334"/>
      <c r="K228" s="334"/>
      <c r="L228" s="334"/>
      <c r="M228" s="334"/>
      <c r="N228" s="334"/>
      <c r="O228" s="334"/>
      <c r="P228" s="334"/>
      <c r="Q228" s="334"/>
      <c r="R228" s="334"/>
      <c r="S228" s="334"/>
      <c r="T228" s="334"/>
      <c r="U228" s="334"/>
      <c r="V228" s="334"/>
      <c r="W228" s="334"/>
      <c r="X228" s="334"/>
    </row>
    <row r="229" spans="3:24" x14ac:dyDescent="0.3">
      <c r="C229" s="333"/>
      <c r="D229" s="334" t="s">
        <v>297</v>
      </c>
      <c r="E229" s="334"/>
      <c r="F229" s="334"/>
      <c r="G229" s="334"/>
      <c r="H229" s="334"/>
      <c r="I229" s="334"/>
      <c r="J229" s="334"/>
      <c r="K229" s="334"/>
      <c r="L229" s="334"/>
      <c r="M229" s="334"/>
      <c r="N229" s="334"/>
      <c r="O229" s="334"/>
      <c r="P229" s="334"/>
      <c r="Q229" s="334"/>
      <c r="R229" s="334"/>
      <c r="S229" s="334"/>
      <c r="T229" s="334"/>
      <c r="U229" s="334"/>
      <c r="V229" s="334"/>
      <c r="W229" s="334"/>
      <c r="X229" s="334"/>
    </row>
    <row r="230" spans="3:24" x14ac:dyDescent="0.3">
      <c r="C230" s="333"/>
      <c r="D230" s="334"/>
      <c r="E230" s="334"/>
      <c r="F230" s="334"/>
      <c r="G230" s="334"/>
      <c r="H230" s="334"/>
      <c r="I230" s="334"/>
      <c r="J230" s="334"/>
      <c r="K230" s="334"/>
      <c r="L230" s="334"/>
      <c r="M230" s="334"/>
      <c r="N230" s="334"/>
      <c r="O230" s="334"/>
      <c r="P230" s="334"/>
      <c r="Q230" s="334"/>
      <c r="R230" s="334"/>
      <c r="S230" s="334"/>
      <c r="T230" s="334"/>
      <c r="U230" s="334"/>
      <c r="V230" s="334"/>
      <c r="W230" s="334"/>
      <c r="X230" s="334"/>
    </row>
    <row r="231" spans="3:24" x14ac:dyDescent="0.3">
      <c r="C231" s="333"/>
      <c r="D231" s="334" t="s">
        <v>298</v>
      </c>
      <c r="E231" s="334"/>
      <c r="F231" s="334"/>
      <c r="G231" s="334"/>
      <c r="H231" s="334"/>
      <c r="I231" s="334"/>
      <c r="J231" s="334"/>
      <c r="K231" s="334"/>
      <c r="L231" s="334"/>
      <c r="M231" s="334"/>
      <c r="N231" s="334"/>
      <c r="O231" s="334"/>
      <c r="P231" s="334"/>
      <c r="Q231" s="334"/>
      <c r="R231" s="334"/>
      <c r="S231" s="334"/>
      <c r="T231" s="334"/>
      <c r="U231" s="334"/>
      <c r="V231" s="334"/>
      <c r="W231" s="334"/>
      <c r="X231" s="334"/>
    </row>
    <row r="232" spans="3:24" x14ac:dyDescent="0.3">
      <c r="C232" s="333"/>
      <c r="D232" s="334"/>
      <c r="E232" s="334"/>
      <c r="F232" s="334"/>
      <c r="G232" s="334"/>
      <c r="H232" s="334"/>
      <c r="I232" s="334"/>
      <c r="J232" s="334"/>
      <c r="K232" s="334"/>
      <c r="L232" s="334"/>
      <c r="M232" s="334"/>
      <c r="N232" s="334"/>
      <c r="O232" s="334"/>
      <c r="P232" s="334"/>
      <c r="Q232" s="334"/>
      <c r="R232" s="334"/>
      <c r="S232" s="334"/>
      <c r="T232" s="334"/>
      <c r="U232" s="334"/>
      <c r="V232" s="334"/>
      <c r="W232" s="334"/>
      <c r="X232" s="334"/>
    </row>
    <row r="233" spans="3:24" x14ac:dyDescent="0.3">
      <c r="C233" s="333" t="s">
        <v>299</v>
      </c>
      <c r="D233" s="334" t="s">
        <v>300</v>
      </c>
      <c r="E233" s="334"/>
      <c r="F233" s="334"/>
      <c r="G233" s="334"/>
      <c r="H233" s="334"/>
      <c r="I233" s="334"/>
      <c r="J233" s="334"/>
      <c r="K233" s="334"/>
      <c r="L233" s="334"/>
      <c r="M233" s="334"/>
      <c r="N233" s="334"/>
      <c r="O233" s="334"/>
      <c r="P233" s="334"/>
      <c r="Q233" s="334"/>
      <c r="R233" s="334"/>
      <c r="S233" s="334"/>
      <c r="T233" s="334"/>
      <c r="U233" s="334"/>
      <c r="V233" s="334"/>
      <c r="W233" s="334"/>
      <c r="X233" s="334"/>
    </row>
    <row r="234" spans="3:24" x14ac:dyDescent="0.3">
      <c r="C234" s="333"/>
      <c r="D234" s="334" t="s">
        <v>301</v>
      </c>
      <c r="E234" s="334"/>
      <c r="F234" s="334"/>
      <c r="G234" s="334"/>
      <c r="H234" s="334"/>
      <c r="I234" s="334"/>
      <c r="J234" s="334"/>
      <c r="K234" s="334"/>
      <c r="L234" s="334"/>
      <c r="M234" s="334"/>
      <c r="N234" s="334"/>
      <c r="O234" s="334"/>
      <c r="P234" s="334"/>
      <c r="Q234" s="334"/>
      <c r="R234" s="334"/>
      <c r="S234" s="334"/>
      <c r="T234" s="334"/>
      <c r="U234" s="334"/>
      <c r="V234" s="334"/>
      <c r="W234" s="334"/>
      <c r="X234" s="334"/>
    </row>
    <row r="235" spans="3:24" x14ac:dyDescent="0.3">
      <c r="C235" s="333"/>
      <c r="D235" s="334" t="s">
        <v>302</v>
      </c>
      <c r="E235" s="334"/>
      <c r="F235" s="334"/>
      <c r="G235" s="334"/>
      <c r="H235" s="334"/>
      <c r="I235" s="334"/>
      <c r="J235" s="334"/>
      <c r="K235" s="334"/>
      <c r="L235" s="334"/>
      <c r="M235" s="334"/>
      <c r="N235" s="334"/>
      <c r="O235" s="334"/>
      <c r="P235" s="334"/>
      <c r="Q235" s="334"/>
      <c r="R235" s="334"/>
      <c r="S235" s="334"/>
      <c r="T235" s="334"/>
      <c r="U235" s="334"/>
      <c r="V235" s="334"/>
      <c r="W235" s="334"/>
      <c r="X235" s="334"/>
    </row>
    <row r="236" spans="3:24" x14ac:dyDescent="0.3">
      <c r="C236" s="333" t="s">
        <v>303</v>
      </c>
      <c r="D236" s="334" t="s">
        <v>304</v>
      </c>
      <c r="E236" s="334"/>
      <c r="F236" s="334"/>
      <c r="G236" s="334"/>
      <c r="H236" s="334"/>
      <c r="I236" s="334"/>
      <c r="J236" s="334"/>
      <c r="K236" s="334"/>
      <c r="L236" s="334"/>
      <c r="M236" s="334"/>
      <c r="N236" s="334"/>
      <c r="O236" s="334"/>
      <c r="P236" s="334"/>
      <c r="Q236" s="334"/>
      <c r="R236" s="334"/>
      <c r="S236" s="334"/>
      <c r="T236" s="334"/>
      <c r="U236" s="334"/>
      <c r="V236" s="334"/>
      <c r="W236" s="334"/>
      <c r="X236" s="334"/>
    </row>
    <row r="237" spans="3:24" x14ac:dyDescent="0.3">
      <c r="C237" s="333"/>
      <c r="D237" s="334" t="s">
        <v>305</v>
      </c>
      <c r="E237" s="334"/>
      <c r="F237" s="334"/>
      <c r="G237" s="334"/>
      <c r="H237" s="334"/>
      <c r="I237" s="334"/>
      <c r="J237" s="334"/>
      <c r="K237" s="334"/>
      <c r="L237" s="334"/>
      <c r="M237" s="334"/>
      <c r="N237" s="334"/>
      <c r="O237" s="334"/>
      <c r="P237" s="334"/>
      <c r="Q237" s="334"/>
      <c r="R237" s="334"/>
      <c r="S237" s="334"/>
      <c r="T237" s="334"/>
      <c r="U237" s="334"/>
      <c r="V237" s="334"/>
      <c r="W237" s="334"/>
      <c r="X237" s="334"/>
    </row>
    <row r="238" spans="3:24" x14ac:dyDescent="0.3">
      <c r="C238" s="333"/>
      <c r="D238" s="334" t="s">
        <v>306</v>
      </c>
      <c r="E238" s="334"/>
      <c r="F238" s="334"/>
      <c r="G238" s="334"/>
      <c r="H238" s="334"/>
      <c r="I238" s="334"/>
      <c r="J238" s="334"/>
      <c r="K238" s="334"/>
      <c r="L238" s="334"/>
      <c r="M238" s="334"/>
      <c r="N238" s="334"/>
      <c r="O238" s="334"/>
      <c r="P238" s="334"/>
      <c r="Q238" s="334"/>
      <c r="R238" s="334"/>
      <c r="S238" s="334"/>
      <c r="T238" s="334"/>
      <c r="U238" s="334"/>
      <c r="V238" s="334"/>
      <c r="W238" s="334"/>
      <c r="X238" s="334"/>
    </row>
    <row r="239" spans="3:24" x14ac:dyDescent="0.3">
      <c r="C239" s="334"/>
      <c r="D239" s="334"/>
      <c r="E239" s="334"/>
      <c r="F239" s="334"/>
      <c r="G239" s="334"/>
      <c r="H239" s="334"/>
      <c r="I239" s="334"/>
      <c r="J239" s="334"/>
      <c r="K239" s="334"/>
      <c r="L239" s="334"/>
      <c r="M239" s="334"/>
      <c r="N239" s="334"/>
      <c r="O239" s="334"/>
      <c r="P239" s="334"/>
      <c r="Q239" s="334"/>
      <c r="R239" s="334"/>
      <c r="S239" s="334"/>
      <c r="T239" s="334"/>
      <c r="U239" s="334"/>
      <c r="V239" s="334"/>
      <c r="W239" s="334"/>
      <c r="X239" s="334"/>
    </row>
    <row r="240" spans="3:24" ht="18" x14ac:dyDescent="0.35">
      <c r="C240" s="334"/>
      <c r="D240" s="337" t="s">
        <v>307</v>
      </c>
      <c r="E240" s="334"/>
      <c r="F240" s="334"/>
      <c r="G240" s="334"/>
      <c r="H240" s="334"/>
      <c r="I240" s="334"/>
      <c r="J240" s="334"/>
      <c r="K240" s="334"/>
      <c r="L240" s="334"/>
      <c r="M240" s="334"/>
      <c r="N240" s="334"/>
      <c r="O240" s="334"/>
      <c r="P240" s="334"/>
      <c r="Q240" s="334"/>
      <c r="R240" s="334"/>
      <c r="S240" s="334"/>
      <c r="T240" s="334"/>
      <c r="U240" s="334"/>
      <c r="V240" s="334"/>
      <c r="W240" s="334"/>
      <c r="X240" s="334"/>
    </row>
    <row r="241" spans="3:24" x14ac:dyDescent="0.3">
      <c r="C241" s="334"/>
      <c r="D241" s="334" t="s">
        <v>308</v>
      </c>
      <c r="E241" s="334"/>
      <c r="F241" s="334"/>
      <c r="G241" s="334"/>
      <c r="H241" s="334"/>
      <c r="I241" s="334"/>
      <c r="J241" s="334"/>
      <c r="K241" s="334"/>
      <c r="L241" s="334"/>
      <c r="M241" s="334"/>
      <c r="N241" s="334"/>
      <c r="O241" s="334"/>
      <c r="P241" s="334"/>
      <c r="Q241" s="334"/>
      <c r="R241" s="334"/>
      <c r="S241" s="334"/>
      <c r="T241" s="334"/>
      <c r="U241" s="334"/>
      <c r="V241" s="334"/>
      <c r="W241" s="334"/>
      <c r="X241" s="334"/>
    </row>
    <row r="242" spans="3:24" x14ac:dyDescent="0.3">
      <c r="C242" s="334"/>
      <c r="D242" s="334" t="s">
        <v>309</v>
      </c>
      <c r="E242" s="334"/>
      <c r="F242" s="334"/>
      <c r="G242" s="334"/>
      <c r="H242" s="334"/>
      <c r="I242" s="334"/>
      <c r="J242" s="334"/>
      <c r="K242" s="334"/>
      <c r="L242" s="334"/>
      <c r="M242" s="334"/>
      <c r="N242" s="334"/>
      <c r="O242" s="334"/>
      <c r="P242" s="334"/>
      <c r="Q242" s="334"/>
      <c r="R242" s="334"/>
      <c r="S242" s="334"/>
      <c r="T242" s="334"/>
      <c r="U242" s="334"/>
      <c r="V242" s="334"/>
      <c r="W242" s="334"/>
      <c r="X242" s="334"/>
    </row>
    <row r="243" spans="3:24" x14ac:dyDescent="0.3">
      <c r="C243" s="334"/>
      <c r="D243" s="334" t="s">
        <v>310</v>
      </c>
      <c r="E243" s="334"/>
      <c r="F243" s="334"/>
      <c r="G243" s="334"/>
      <c r="H243" s="334"/>
      <c r="I243" s="334"/>
      <c r="J243" s="334"/>
      <c r="K243" s="334"/>
      <c r="L243" s="334"/>
      <c r="M243" s="334"/>
      <c r="N243" s="334"/>
      <c r="O243" s="334"/>
      <c r="P243" s="334"/>
      <c r="Q243" s="334"/>
      <c r="R243" s="334"/>
      <c r="S243" s="334"/>
      <c r="T243" s="334"/>
      <c r="U243" s="334"/>
      <c r="V243" s="334"/>
      <c r="W243" s="334"/>
      <c r="X243" s="334"/>
    </row>
    <row r="244" spans="3:24" x14ac:dyDescent="0.3">
      <c r="C244" s="334"/>
      <c r="D244" s="334" t="s">
        <v>311</v>
      </c>
      <c r="E244" s="334"/>
      <c r="F244" s="334"/>
      <c r="G244" s="334"/>
      <c r="H244" s="334"/>
      <c r="I244" s="334"/>
      <c r="J244" s="334"/>
      <c r="K244" s="334"/>
      <c r="L244" s="334"/>
      <c r="M244" s="334"/>
      <c r="N244" s="334"/>
      <c r="O244" s="334"/>
      <c r="P244" s="334"/>
      <c r="Q244" s="334"/>
      <c r="R244" s="334"/>
      <c r="S244" s="334"/>
      <c r="T244" s="334"/>
      <c r="U244" s="334"/>
      <c r="V244" s="334"/>
      <c r="W244" s="334"/>
      <c r="X244" s="334"/>
    </row>
    <row r="245" spans="3:24" x14ac:dyDescent="0.3">
      <c r="C245" s="334"/>
      <c r="D245" s="334"/>
      <c r="E245" s="334"/>
      <c r="F245" s="334"/>
      <c r="G245" s="334"/>
      <c r="H245" s="334"/>
      <c r="I245" s="334"/>
      <c r="J245" s="334"/>
      <c r="K245" s="334"/>
      <c r="L245" s="334"/>
      <c r="M245" s="334"/>
      <c r="N245" s="334"/>
      <c r="O245" s="334"/>
      <c r="P245" s="334"/>
      <c r="Q245" s="334"/>
      <c r="R245" s="334"/>
      <c r="S245" s="334"/>
      <c r="T245" s="334"/>
      <c r="U245" s="334"/>
      <c r="V245" s="334"/>
      <c r="W245" s="334"/>
      <c r="X245" s="334"/>
    </row>
    <row r="246" spans="3:24" x14ac:dyDescent="0.3">
      <c r="C246" s="334"/>
      <c r="D246" s="334"/>
      <c r="E246" s="334"/>
      <c r="F246" s="334"/>
      <c r="G246" s="334"/>
      <c r="H246" s="334"/>
      <c r="I246" s="334"/>
      <c r="J246" s="334"/>
      <c r="K246" s="334"/>
      <c r="L246" s="334"/>
      <c r="M246" s="334"/>
      <c r="N246" s="334"/>
      <c r="O246" s="334"/>
      <c r="P246" s="334"/>
      <c r="Q246" s="334"/>
      <c r="R246" s="334"/>
      <c r="S246" s="334"/>
      <c r="T246" s="334"/>
      <c r="U246" s="334"/>
      <c r="V246" s="334"/>
      <c r="W246" s="334"/>
      <c r="X246" s="334"/>
    </row>
    <row r="247" spans="3:24" x14ac:dyDescent="0.3">
      <c r="C247" s="334"/>
      <c r="D247" s="334" t="s">
        <v>316</v>
      </c>
      <c r="E247" s="334"/>
      <c r="F247" s="334"/>
      <c r="G247" s="334" t="s">
        <v>319</v>
      </c>
      <c r="H247" s="334"/>
      <c r="I247" s="334"/>
      <c r="J247" s="334"/>
      <c r="K247" s="334"/>
      <c r="L247" s="334"/>
      <c r="M247" s="334"/>
      <c r="N247" s="334"/>
      <c r="O247" s="334"/>
      <c r="P247" s="334"/>
      <c r="Q247" s="334"/>
      <c r="R247" s="334"/>
      <c r="S247" s="334"/>
      <c r="T247" s="334"/>
      <c r="U247" s="334"/>
      <c r="V247" s="334"/>
      <c r="W247" s="334"/>
      <c r="X247" s="334"/>
    </row>
    <row r="248" spans="3:24" x14ac:dyDescent="0.3">
      <c r="C248" s="334"/>
      <c r="D248" s="334"/>
      <c r="E248" s="334"/>
      <c r="F248" s="334"/>
      <c r="G248" s="334"/>
      <c r="H248" s="334"/>
      <c r="I248" s="334"/>
      <c r="J248" s="334"/>
      <c r="K248" s="334"/>
      <c r="L248" s="334"/>
      <c r="M248" s="334"/>
      <c r="N248" s="334"/>
      <c r="O248" s="334"/>
      <c r="P248" s="334"/>
      <c r="Q248" s="334"/>
      <c r="R248" s="334"/>
      <c r="S248" s="334"/>
      <c r="T248" s="334"/>
      <c r="U248" s="334"/>
      <c r="V248" s="334"/>
      <c r="W248" s="334"/>
      <c r="X248" s="334"/>
    </row>
    <row r="249" spans="3:24" x14ac:dyDescent="0.3">
      <c r="C249" s="334"/>
      <c r="D249" s="334" t="s">
        <v>317</v>
      </c>
      <c r="E249" s="334"/>
      <c r="F249" s="334"/>
      <c r="G249" s="334"/>
      <c r="H249" s="334"/>
      <c r="I249" s="334"/>
      <c r="J249" s="334"/>
      <c r="K249" s="334"/>
      <c r="L249" s="334"/>
      <c r="M249" s="334"/>
      <c r="N249" s="334"/>
      <c r="O249" s="334"/>
      <c r="P249" s="334"/>
      <c r="Q249" s="334"/>
      <c r="R249" s="334"/>
      <c r="S249" s="334"/>
      <c r="T249" s="334"/>
      <c r="U249" s="334"/>
      <c r="V249" s="334"/>
      <c r="W249" s="334"/>
      <c r="X249" s="334"/>
    </row>
    <row r="250" spans="3:24" x14ac:dyDescent="0.3">
      <c r="C250" s="334"/>
      <c r="D250" s="334" t="s">
        <v>318</v>
      </c>
      <c r="E250" s="334"/>
      <c r="F250" s="334"/>
      <c r="G250" s="334"/>
      <c r="H250" s="334"/>
      <c r="I250" s="334"/>
      <c r="J250" s="334"/>
      <c r="K250" s="334"/>
      <c r="L250" s="334"/>
      <c r="M250" s="334"/>
      <c r="N250" s="334"/>
      <c r="O250" s="334"/>
      <c r="P250" s="334"/>
      <c r="Q250" s="334"/>
      <c r="R250" s="334"/>
      <c r="S250" s="334"/>
      <c r="T250" s="334"/>
      <c r="U250" s="334"/>
      <c r="V250" s="334"/>
      <c r="W250" s="334"/>
      <c r="X250" s="334"/>
    </row>
  </sheetData>
  <mergeCells count="38">
    <mergeCell ref="G2:H2"/>
    <mergeCell ref="J83:L83"/>
    <mergeCell ref="D84:F84"/>
    <mergeCell ref="I84:L84"/>
    <mergeCell ref="D85:E85"/>
    <mergeCell ref="I85:L85"/>
    <mergeCell ref="D177:F177"/>
    <mergeCell ref="I177:L177"/>
    <mergeCell ref="G95:H95"/>
    <mergeCell ref="J176:L176"/>
    <mergeCell ref="M208:O208"/>
    <mergeCell ref="M204:N204"/>
    <mergeCell ref="M205:N205"/>
    <mergeCell ref="M206:N206"/>
    <mergeCell ref="M207:N207"/>
    <mergeCell ref="D186:E186"/>
    <mergeCell ref="D187:E187"/>
    <mergeCell ref="C181:E181"/>
    <mergeCell ref="D182:E182"/>
    <mergeCell ref="D183:E183"/>
    <mergeCell ref="D184:E184"/>
    <mergeCell ref="D185:E185"/>
    <mergeCell ref="H186:K186"/>
    <mergeCell ref="L186:M186"/>
    <mergeCell ref="H187:K187"/>
    <mergeCell ref="L187:M187"/>
    <mergeCell ref="H181:M181"/>
    <mergeCell ref="H183:K183"/>
    <mergeCell ref="L183:M183"/>
    <mergeCell ref="H184:K184"/>
    <mergeCell ref="L184:M184"/>
    <mergeCell ref="H185:K185"/>
    <mergeCell ref="L185:M185"/>
    <mergeCell ref="C180:E180"/>
    <mergeCell ref="H180:M180"/>
    <mergeCell ref="C179:M179"/>
    <mergeCell ref="H182:K182"/>
    <mergeCell ref="L182:M182"/>
  </mergeCells>
  <pageMargins left="0.7" right="0.7" top="0.75" bottom="0.75" header="0.3" footer="0.3"/>
  <pageSetup paperSize="9" scale="6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Stock sheet</vt:lpstr>
      <vt:lpstr>New zealand dairy</vt:lpstr>
      <vt:lpstr>BD GOLD MARK ZAFRAN</vt:lpstr>
      <vt:lpstr>Sheet1</vt:lpstr>
      <vt:lpstr>BASIR IMRAN</vt:lpstr>
      <vt:lpstr>'BASIR IMRAN'!Print_Area</vt:lpstr>
      <vt:lpstr>'BD GOLD MARK ZAFRAN'!Print_Area</vt:lpstr>
      <vt:lpstr>'New zealand dairy'!Print_Area</vt:lpstr>
      <vt:lpstr>'Stock sheet'!Print_Area</vt:lpstr>
      <vt:lpstr>'BD GOLD MARK ZAFRAN'!Print_Titles</vt:lpstr>
      <vt:lpstr>'New zealand dairy'!Print_Titles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IBRAHIM;A</dc:creator>
  <cp:lastModifiedBy>Aafia Enterprise</cp:lastModifiedBy>
  <cp:lastPrinted>2026-09-26T11:22:59Z</cp:lastPrinted>
  <dcterms:created xsi:type="dcterms:W3CDTF">2025-07-08T11:37:43Z</dcterms:created>
  <dcterms:modified xsi:type="dcterms:W3CDTF">2026-09-26T12:18:20Z</dcterms:modified>
</cp:coreProperties>
</file>